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yyar Akbulut\Downloads\"/>
    </mc:Choice>
  </mc:AlternateContent>
  <xr:revisionPtr revIDLastSave="0" documentId="8_{55741BF5-FE6C-4D82-9162-40A57E8848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  <sheet name="VERİ" sheetId="2" r:id="rId2"/>
    <sheet name="KOT" sheetId="6" r:id="rId3"/>
    <sheet name="Kaşe" sheetId="5" r:id="rId4"/>
  </sheets>
  <definedNames>
    <definedName name="A_1_BLOK">KOT!$Q$5:$Q$20</definedName>
    <definedName name="A_2_BLOK">KOT!$G$5:$G$20</definedName>
    <definedName name="A_BLOK">KOT!$B$5:$B$20</definedName>
    <definedName name="A_PARSEL">VERİ!$G$4:$G$9</definedName>
    <definedName name="B_1_BLOK">KOT!$R$5:$R$20</definedName>
    <definedName name="B_2_BLOK">KOT!$S$5:$S$20</definedName>
    <definedName name="B_3_BLOK">KOT!$T$5:$T$20</definedName>
    <definedName name="B_4_BLOK">KOT!$U$5:$U$20</definedName>
    <definedName name="B_BLOK">KOT!$C$5:$C$20</definedName>
    <definedName name="C_1_BLOK">KOT!$I$5:$I$19</definedName>
    <definedName name="C_2_BLOK">KOT!$J$5:$J$19</definedName>
    <definedName name="D_1_BLOK">KOT!$M$5:$M$19</definedName>
    <definedName name="D_2_BLOK">KOT!$L$5:$L$19</definedName>
    <definedName name="D_3_BLOK">KOT!$K$5:$K$19</definedName>
    <definedName name="D_PARSEL_1">VERİ!$H$4:$H$15</definedName>
    <definedName name="D_PARSEL_2">VERİ!$I$4:$I$12</definedName>
    <definedName name="D_PARSEL_3">VERİ!$J$4:$J$11</definedName>
    <definedName name="DENER">VERİ!$T$5:$T$9</definedName>
    <definedName name="Diger">VERİ!$S$5:$S$8</definedName>
    <definedName name="E_BLOK">KOT!$H$5:$H$25</definedName>
    <definedName name="F_1_BLOK">KOT!$O$5:$O$9</definedName>
    <definedName name="F_2_BLOK">KOT!$P$5:$P$9</definedName>
    <definedName name="G_BLOK">KOT!$N$5:$N$9</definedName>
    <definedName name="GENEL">VERİ!$L$4</definedName>
    <definedName name="GENEL_SAHA">KOT!$E$5</definedName>
    <definedName name="Ince">VERİ!$Q$5:$Q$9</definedName>
    <definedName name="ISTINAT_CEVRE_DUVARI">KOT!$V$5</definedName>
    <definedName name="Kaba">VERİ!$P$5:$P$15</definedName>
    <definedName name="KABA_FIRMA_1">VERİ!$Y$5</definedName>
    <definedName name="KABA_FIRMA_2">VERİ!$Z$5</definedName>
    <definedName name="KABA_FIRMA_3">VERİ!$AA$5</definedName>
    <definedName name="KESINTI">VERİ!$X$5:$X$10</definedName>
    <definedName name="MILLET_BAHCESI">VERİ!$K$4:$K$5</definedName>
    <definedName name="MOBILIZASYON">KOT!$F$5</definedName>
    <definedName name="OSMAN_CAMCI">VERİ!$U$5:$U$9</definedName>
    <definedName name="Peyzaj">VERİ!$R$5:$R$12</definedName>
    <definedName name="PEYZAJ_2">KOT!$D$5</definedName>
    <definedName name="SONGUR">VERİ!$W$5</definedName>
    <definedName name="YILDIZLAR">VERİ!$V$5:$V$10</definedName>
    <definedName name="Zemin">VERİ!$O$5:$O$7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8" i="1" l="1"/>
  <c r="O87" i="1"/>
  <c r="O86" i="1"/>
  <c r="O84" i="1"/>
  <c r="O83" i="1"/>
  <c r="O82" i="1"/>
  <c r="O81" i="1"/>
  <c r="O76" i="1"/>
  <c r="O77" i="1"/>
  <c r="O78" i="1"/>
  <c r="O79" i="1"/>
  <c r="O74" i="1"/>
  <c r="O75" i="1"/>
  <c r="O73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15" i="1"/>
  <c r="O11" i="1"/>
  <c r="O5" i="1"/>
  <c r="O6" i="1"/>
  <c r="O7" i="1"/>
  <c r="O8" i="1"/>
  <c r="O9" i="1"/>
  <c r="O10" i="1"/>
  <c r="O12" i="1"/>
  <c r="O13" i="1"/>
  <c r="O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80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l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</calcChain>
</file>

<file path=xl/sharedStrings.xml><?xml version="1.0" encoding="utf-8"?>
<sst xmlns="http://schemas.openxmlformats.org/spreadsheetml/2006/main" count="3498" uniqueCount="521">
  <si>
    <t>Sıra</t>
  </si>
  <si>
    <t>Fatura No</t>
  </si>
  <si>
    <t>ARAÇ PLAKA NO</t>
  </si>
  <si>
    <t>KIVAM SINIFI</t>
  </si>
  <si>
    <t>İrsaliye No</t>
  </si>
  <si>
    <t>Tedarikçi</t>
  </si>
  <si>
    <t>Dönem</t>
  </si>
  <si>
    <t>İrsaliye Tarihi</t>
  </si>
  <si>
    <t>Beton Sınıfı</t>
  </si>
  <si>
    <t>Miktar</t>
  </si>
  <si>
    <t>Birim</t>
  </si>
  <si>
    <t>POMPALI</t>
  </si>
  <si>
    <t>Firma</t>
  </si>
  <si>
    <t>Ana İş Kalemi</t>
  </si>
  <si>
    <t>İmalat Ana Grup</t>
  </si>
  <si>
    <t>Kot</t>
  </si>
  <si>
    <t>Blok</t>
  </si>
  <si>
    <t>İrsaliye Açıklama</t>
  </si>
  <si>
    <t xml:space="preserve">KARTAL ESENTEPE </t>
  </si>
  <si>
    <t>KURU SHOTCRETE</t>
  </si>
  <si>
    <t>YAŞ SHOTCRETE</t>
  </si>
  <si>
    <t>C16</t>
  </si>
  <si>
    <t>C20</t>
  </si>
  <si>
    <t>C25</t>
  </si>
  <si>
    <t>C30</t>
  </si>
  <si>
    <t>C35</t>
  </si>
  <si>
    <t>C40</t>
  </si>
  <si>
    <t>ANTİFRİZ</t>
  </si>
  <si>
    <t>S4 SLUMP FARKI</t>
  </si>
  <si>
    <t>KATKISIZ</t>
  </si>
  <si>
    <t>BRÜT BETON</t>
  </si>
  <si>
    <t>SU GEÇİRİMSİZLİK</t>
  </si>
  <si>
    <t>DMAX</t>
  </si>
  <si>
    <t xml:space="preserve">ARDGERME </t>
  </si>
  <si>
    <t>BETON SUYU ISITMA</t>
  </si>
  <si>
    <t>Pompa Durumu</t>
  </si>
  <si>
    <t>MOBİL POMPA FİYAT FARKI</t>
  </si>
  <si>
    <t>SABİT POMPA</t>
  </si>
  <si>
    <t>PARSEL</t>
  </si>
  <si>
    <t>D PARSEL 1. KISIM</t>
  </si>
  <si>
    <t>D PARSEL 2. KISIM</t>
  </si>
  <si>
    <t>D PARSEL 3. KISIM</t>
  </si>
  <si>
    <t>GENEL SAHA</t>
  </si>
  <si>
    <t>KAT</t>
  </si>
  <si>
    <t>10. BK</t>
  </si>
  <si>
    <t>9. BK</t>
  </si>
  <si>
    <t>8. BK</t>
  </si>
  <si>
    <t>7. BK</t>
  </si>
  <si>
    <t>6. BK</t>
  </si>
  <si>
    <t>5. BK</t>
  </si>
  <si>
    <t>4. BK</t>
  </si>
  <si>
    <t>3. BK</t>
  </si>
  <si>
    <t>2. BK</t>
  </si>
  <si>
    <t>1. BK</t>
  </si>
  <si>
    <t>ZEMİN KAT</t>
  </si>
  <si>
    <t>1. NK</t>
  </si>
  <si>
    <t>2. NK</t>
  </si>
  <si>
    <t>3. NK</t>
  </si>
  <si>
    <t>4. NK</t>
  </si>
  <si>
    <t>5. NK</t>
  </si>
  <si>
    <t>6. NK</t>
  </si>
  <si>
    <t>7. NK</t>
  </si>
  <si>
    <t>8. NK</t>
  </si>
  <si>
    <t>9. NK</t>
  </si>
  <si>
    <t>ÇEKME KATI</t>
  </si>
  <si>
    <t>MOBİLİZASYON</t>
  </si>
  <si>
    <t>GROBETON</t>
  </si>
  <si>
    <t>KOLON-PERDE</t>
  </si>
  <si>
    <t>PARAPET</t>
  </si>
  <si>
    <t>ASANSÖR KUYUSU DOLGU</t>
  </si>
  <si>
    <t>SAHA BETONU</t>
  </si>
  <si>
    <t>YASTIK BETONU</t>
  </si>
  <si>
    <t>MERDİVEN</t>
  </si>
  <si>
    <t>KADEME PERDESİ</t>
  </si>
  <si>
    <t xml:space="preserve">A PARSEL </t>
  </si>
  <si>
    <t>FİRMA</t>
  </si>
  <si>
    <t>DENER</t>
  </si>
  <si>
    <t>YILDIZLAR</t>
  </si>
  <si>
    <t>İMALAT GRUBU</t>
  </si>
  <si>
    <t>TEMEL</t>
  </si>
  <si>
    <t>DÖŞEME</t>
  </si>
  <si>
    <t>KULE VİNÇ TEMEL</t>
  </si>
  <si>
    <t>DOLGU</t>
  </si>
  <si>
    <t>DOLGU BETONU</t>
  </si>
  <si>
    <t>KÜPTAŞ</t>
  </si>
  <si>
    <t>HATIL</t>
  </si>
  <si>
    <t>TOPUK</t>
  </si>
  <si>
    <t>LENTO</t>
  </si>
  <si>
    <t>GENEL</t>
  </si>
  <si>
    <t>-</t>
  </si>
  <si>
    <t>ÇEVRE DUVARI</t>
  </si>
  <si>
    <t>İSTİNAT DUVARI</t>
  </si>
  <si>
    <t>+58,40</t>
  </si>
  <si>
    <t>+61,40</t>
  </si>
  <si>
    <t>+64,80</t>
  </si>
  <si>
    <t>+68,00</t>
  </si>
  <si>
    <t>+72,50</t>
  </si>
  <si>
    <t>+77,00</t>
  </si>
  <si>
    <t>+80,40</t>
  </si>
  <si>
    <t>+83,80</t>
  </si>
  <si>
    <t>+87,20</t>
  </si>
  <si>
    <t>+90,60</t>
  </si>
  <si>
    <t>+94,00</t>
  </si>
  <si>
    <t>+97,40</t>
  </si>
  <si>
    <t>+100,80</t>
  </si>
  <si>
    <t>+104,20</t>
  </si>
  <si>
    <t>+107,60</t>
  </si>
  <si>
    <t>+111,00</t>
  </si>
  <si>
    <t>+114,40</t>
  </si>
  <si>
    <t>+117,80</t>
  </si>
  <si>
    <t>+121,20</t>
  </si>
  <si>
    <t>+124,60</t>
  </si>
  <si>
    <t>+128,00</t>
  </si>
  <si>
    <t>D PARSEL KOTLAR</t>
  </si>
  <si>
    <t>Parsel</t>
  </si>
  <si>
    <t>ŞAP 200</t>
  </si>
  <si>
    <t>ŞAP 300</t>
  </si>
  <si>
    <t>HİDROLİK DAĞITICI POMPA</t>
  </si>
  <si>
    <t>ÖRÜMCEK POMPA</t>
  </si>
  <si>
    <t>MİLLET BAHÇESİ</t>
  </si>
  <si>
    <t>A2 BLOK</t>
  </si>
  <si>
    <t>SHOTCRETE</t>
  </si>
  <si>
    <t>FORE KAZIK</t>
  </si>
  <si>
    <t>KESİNTİ</t>
  </si>
  <si>
    <t>MİKSERLİ</t>
  </si>
  <si>
    <t>+75,90</t>
  </si>
  <si>
    <t>+79,30</t>
  </si>
  <si>
    <t>+82,70</t>
  </si>
  <si>
    <t>+86,60</t>
  </si>
  <si>
    <t>+90,00</t>
  </si>
  <si>
    <t>+93,40</t>
  </si>
  <si>
    <t>+96,80</t>
  </si>
  <si>
    <t>+100,20</t>
  </si>
  <si>
    <t>+103,60</t>
  </si>
  <si>
    <t>+107,00</t>
  </si>
  <si>
    <t>+110,40</t>
  </si>
  <si>
    <t>+113,80</t>
  </si>
  <si>
    <t>+117,20</t>
  </si>
  <si>
    <t>+120,60</t>
  </si>
  <si>
    <t>+124,00</t>
  </si>
  <si>
    <t>D3, C1, C2</t>
  </si>
  <si>
    <t>+110</t>
  </si>
  <si>
    <t>+124,0</t>
  </si>
  <si>
    <t>+127,40</t>
  </si>
  <si>
    <t>x</t>
  </si>
  <si>
    <t>Diger</t>
  </si>
  <si>
    <t>Peyzaj</t>
  </si>
  <si>
    <t>Ince</t>
  </si>
  <si>
    <t>Kaba</t>
  </si>
  <si>
    <t>Zemin</t>
  </si>
  <si>
    <t>A_PARSEL</t>
  </si>
  <si>
    <t>D_PARSEL_1</t>
  </si>
  <si>
    <t>D_PARSEL_2</t>
  </si>
  <si>
    <t>D_PARSEL_3</t>
  </si>
  <si>
    <t>MILLET_BAHCESI</t>
  </si>
  <si>
    <t>A_BLOK</t>
  </si>
  <si>
    <t>B_BLOK</t>
  </si>
  <si>
    <t>GENEL_SAHA</t>
  </si>
  <si>
    <t>MOBILIZASYON</t>
  </si>
  <si>
    <t>E_BLOK</t>
  </si>
  <si>
    <t>G_BLOK</t>
  </si>
  <si>
    <t>ISTINAT_CEVRE_DUVARI</t>
  </si>
  <si>
    <t>+96,50</t>
  </si>
  <si>
    <t>+113,50</t>
  </si>
  <si>
    <t>+110,00</t>
  </si>
  <si>
    <t>+62,55</t>
  </si>
  <si>
    <t>+67,60</t>
  </si>
  <si>
    <t>+71,00</t>
  </si>
  <si>
    <t>+74,40</t>
  </si>
  <si>
    <t>+77,80</t>
  </si>
  <si>
    <t>+81,20</t>
  </si>
  <si>
    <t>+85,20</t>
  </si>
  <si>
    <t>+88,60</t>
  </si>
  <si>
    <t>+93,10</t>
  </si>
  <si>
    <t>+99,90</t>
  </si>
  <si>
    <t>+103,30</t>
  </si>
  <si>
    <t>+106,70</t>
  </si>
  <si>
    <t>+110,10</t>
  </si>
  <si>
    <t>+116,90</t>
  </si>
  <si>
    <t>+118,50</t>
  </si>
  <si>
    <t>+89,15</t>
  </si>
  <si>
    <t>+115,10</t>
  </si>
  <si>
    <t>F_2_BLOK</t>
  </si>
  <si>
    <t>A_2_BLOK</t>
  </si>
  <si>
    <t>C_1_BLOK</t>
  </si>
  <si>
    <t>C_2_BLOK</t>
  </si>
  <si>
    <t>D_3_BLOK</t>
  </si>
  <si>
    <t>B_4_BLOK</t>
  </si>
  <si>
    <t>D_2_BLOK</t>
  </si>
  <si>
    <t>D_1_BLOK</t>
  </si>
  <si>
    <t>F_1_BLOK</t>
  </si>
  <si>
    <t>A_1_BLOK</t>
  </si>
  <si>
    <t>B_1_BLOK</t>
  </si>
  <si>
    <t>B_2_BLOK</t>
  </si>
  <si>
    <t>B_3_BLOK</t>
  </si>
  <si>
    <t>PEYZAJ_2</t>
  </si>
  <si>
    <t>PEYZAJ_KOTU</t>
  </si>
  <si>
    <t>OSMAN_CAMCI</t>
  </si>
  <si>
    <t>SONGUR</t>
  </si>
  <si>
    <t>KESINTI</t>
  </si>
  <si>
    <t>KABA_FIRMA_1</t>
  </si>
  <si>
    <t>KABA_FIRMA_2</t>
  </si>
  <si>
    <t>KABA_FIRMA_3</t>
  </si>
  <si>
    <t>Mikser Çıkış Saati</t>
  </si>
  <si>
    <t>İmalat</t>
  </si>
  <si>
    <t>Alt Yüklenici</t>
  </si>
  <si>
    <t>Katkı-1</t>
  </si>
  <si>
    <t>Katkı-2</t>
  </si>
  <si>
    <t>Kantar Farkı</t>
  </si>
  <si>
    <t>Tedarikçi Kantar NET</t>
  </si>
  <si>
    <t>Yıldızlar Kantar Giriş Saati</t>
  </si>
  <si>
    <t>Yıldızlar Kantar Çıkış Saati</t>
  </si>
  <si>
    <t>Yıldızlar Kantar NET</t>
  </si>
  <si>
    <t>Mikser Adet</t>
  </si>
  <si>
    <t>Blok / Kot</t>
  </si>
  <si>
    <t>Miktar / Küm. Miktar</t>
  </si>
  <si>
    <t>06 CTY 239</t>
  </si>
  <si>
    <t>S4</t>
  </si>
  <si>
    <t>ANM2026000000735</t>
  </si>
  <si>
    <t>ANADOLU BETON</t>
  </si>
  <si>
    <t>34M BL 534</t>
  </si>
  <si>
    <t>S3</t>
  </si>
  <si>
    <t>ANM2026000000812</t>
  </si>
  <si>
    <t>06 CTY 232</t>
  </si>
  <si>
    <t>ANM2026000000806</t>
  </si>
  <si>
    <t>34 BML414</t>
  </si>
  <si>
    <t>ANM2026000000833</t>
  </si>
  <si>
    <t>34 MYZ 032</t>
  </si>
  <si>
    <t>ANM2026000000832</t>
  </si>
  <si>
    <t>34 KPR 612</t>
  </si>
  <si>
    <t>ANM2026000000942</t>
  </si>
  <si>
    <t>06 CTL 070</t>
  </si>
  <si>
    <t>ANM2026000000944</t>
  </si>
  <si>
    <t>34 BML 534</t>
  </si>
  <si>
    <t>ANM2026000000946</t>
  </si>
  <si>
    <t>34 BML 414</t>
  </si>
  <si>
    <t>ANM2026000000950</t>
  </si>
  <si>
    <t>ANM2026000000952</t>
  </si>
  <si>
    <t>ANM2026000001119</t>
  </si>
  <si>
    <t>ANM2026000001118</t>
  </si>
  <si>
    <t>ANM2026000001120</t>
  </si>
  <si>
    <t>ANM2026000001122</t>
  </si>
  <si>
    <t>ANM2026000001123</t>
  </si>
  <si>
    <t>ANM2026000001124</t>
  </si>
  <si>
    <t>ANM2026000001125</t>
  </si>
  <si>
    <t>ANM2026000001126</t>
  </si>
  <si>
    <t>ANM2026000001127</t>
  </si>
  <si>
    <t>ANM2026000001130</t>
  </si>
  <si>
    <t>ANM2026000001134</t>
  </si>
  <si>
    <t>ANM2026000001303</t>
  </si>
  <si>
    <t>ANM2026000001293</t>
  </si>
  <si>
    <t>06 CTL 158</t>
  </si>
  <si>
    <t>ANM2026000001292</t>
  </si>
  <si>
    <t>ANM2026000001295</t>
  </si>
  <si>
    <t>05.02.2026</t>
  </si>
  <si>
    <t>07.02.2026</t>
  </si>
  <si>
    <t>09.02.2026</t>
  </si>
  <si>
    <t>12.02.2026</t>
  </si>
  <si>
    <t>16.02.2026</t>
  </si>
  <si>
    <t>21.02.2026</t>
  </si>
  <si>
    <t>M3</t>
  </si>
  <si>
    <t xml:space="preserve"> d parsel giriş kapsı mobilizasyon </t>
  </si>
  <si>
    <t xml:space="preserve"> d parsel giriş yol betonu  mobilizasyon </t>
  </si>
  <si>
    <t>d parsel  giriş güevenlik tırnike  betonu</t>
  </si>
  <si>
    <t xml:space="preserve">d parsel elektirik köşk altı  mobilizasyon </t>
  </si>
  <si>
    <t>d parsel giriş yol betonu mobilizasyon</t>
  </si>
  <si>
    <t xml:space="preserve">d parsel depo temel betonu mobilizasyon </t>
  </si>
  <si>
    <t>D-C parselyol kenarı korkuluk parapet</t>
  </si>
  <si>
    <t>d parsel kantrar rampa betonu mobilizasyon</t>
  </si>
  <si>
    <t>yatay</t>
  </si>
  <si>
    <t>dolaylı(w sütunu)</t>
  </si>
  <si>
    <t>dolaylı(v sütunu)</t>
  </si>
  <si>
    <t>dolaylı(y sütunu)</t>
  </si>
  <si>
    <t>dolaylı(z sütunu)</t>
  </si>
  <si>
    <t>VERİ!B2</t>
  </si>
  <si>
    <t>VERİ!C2</t>
  </si>
  <si>
    <t>VERİ!D2</t>
  </si>
  <si>
    <t>VERİ!E2</t>
  </si>
  <si>
    <t>VERİ!T2</t>
  </si>
  <si>
    <t>VERİ!O2</t>
  </si>
  <si>
    <t>ANA İŞ KALEMİ</t>
  </si>
  <si>
    <t xml:space="preserve">ANADOLU BETON </t>
  </si>
  <si>
    <t>ANM2026000001340</t>
  </si>
  <si>
    <t>23.02.2026</t>
  </si>
  <si>
    <t xml:space="preserve">OSMAN CAMCI A PARSEL 7 NOLU DUVAR KAZIK BETONU </t>
  </si>
  <si>
    <t>ANM2026000001344</t>
  </si>
  <si>
    <t>ANM2026000001342</t>
  </si>
  <si>
    <t xml:space="preserve">34 BML 414 </t>
  </si>
  <si>
    <t>ANM2026000001345</t>
  </si>
  <si>
    <t>ANM2026000001371</t>
  </si>
  <si>
    <t>24.02.2026</t>
  </si>
  <si>
    <t>ANM2026000001367</t>
  </si>
  <si>
    <t>ANM2026000001364</t>
  </si>
  <si>
    <t>ANM2026000001358</t>
  </si>
  <si>
    <t>ANM2026000001384</t>
  </si>
  <si>
    <t>25.02.2026</t>
  </si>
  <si>
    <t xml:space="preserve">A PARSEL YILDIZLAR DOLGU İÇİN PARAPET BETONU </t>
  </si>
  <si>
    <t>ANM2026000001377</t>
  </si>
  <si>
    <t xml:space="preserve">A PARSEL FORE KAZIK 7 NOLU PERDE BETONU </t>
  </si>
  <si>
    <t>ANM2026000001376</t>
  </si>
  <si>
    <t>ANM2026000001397</t>
  </si>
  <si>
    <t>ANM2026000001407</t>
  </si>
  <si>
    <t>ANM2026000001411</t>
  </si>
  <si>
    <t>ANM2026000001417</t>
  </si>
  <si>
    <t>26.02.2026</t>
  </si>
  <si>
    <t xml:space="preserve">A PARSEL KAZIK 7 NOLU DUVAR BETONU </t>
  </si>
  <si>
    <t>ANM2026000001423</t>
  </si>
  <si>
    <t>06CTY232</t>
  </si>
  <si>
    <t>ANM2026000001443</t>
  </si>
  <si>
    <t>GENEL SAHA PERDE BETONU</t>
  </si>
  <si>
    <t>ANM2026000001512</t>
  </si>
  <si>
    <t>28.02.2026</t>
  </si>
  <si>
    <t xml:space="preserve">A PARSEL 7 NOLU İSTİNAT PERDESİ </t>
  </si>
  <si>
    <t>ANM2026000001574</t>
  </si>
  <si>
    <t>03.03.2026</t>
  </si>
  <si>
    <t xml:space="preserve">A PARSEL 7 NOLU DUVAR TEMELİ </t>
  </si>
  <si>
    <t>ANM2026000001570</t>
  </si>
  <si>
    <t>ANM2026000001571</t>
  </si>
  <si>
    <t>ANM2026000001573</t>
  </si>
  <si>
    <t>ANM2026000001741</t>
  </si>
  <si>
    <t>07.03.2026</t>
  </si>
  <si>
    <t>GENEL SAHA BETONU</t>
  </si>
  <si>
    <t>ANM2026000001740</t>
  </si>
  <si>
    <t>ANM2026000001809</t>
  </si>
  <si>
    <t>10.03.2026</t>
  </si>
  <si>
    <t xml:space="preserve">D PARSEL DEPO VE WC KONTEYNIR TEMEL BETONU </t>
  </si>
  <si>
    <t>ANM2026000001814</t>
  </si>
  <si>
    <t>ANM2026000001805</t>
  </si>
  <si>
    <t>ANM2026000001956</t>
  </si>
  <si>
    <t>13.03.2026</t>
  </si>
  <si>
    <t>ANM2026000001953</t>
  </si>
  <si>
    <t>ANM2026000001951</t>
  </si>
  <si>
    <t>ANM2026000001954</t>
  </si>
  <si>
    <t>ANM2026000001952</t>
  </si>
  <si>
    <t>ANM2026000002144</t>
  </si>
  <si>
    <t>17.03.2026</t>
  </si>
  <si>
    <t>A PARSEL 7 NOLU PERDE BETONU</t>
  </si>
  <si>
    <t>ANM2026000002137</t>
  </si>
  <si>
    <t>ANM2026000002391</t>
  </si>
  <si>
    <t>DEPO ETRAFI KORUMA BETONU</t>
  </si>
  <si>
    <t>ANM2026000002435</t>
  </si>
  <si>
    <t>A PARSEL BAHÇE DUVARI</t>
  </si>
  <si>
    <t>ANM2026000002450</t>
  </si>
  <si>
    <t>06 CTL 153</t>
  </si>
  <si>
    <t>ANM2026000002448</t>
  </si>
  <si>
    <t>ANM2026000002454</t>
  </si>
  <si>
    <t>ANM2026000002558</t>
  </si>
  <si>
    <t>ANM2026000002563</t>
  </si>
  <si>
    <t>ANM2026000002553</t>
  </si>
  <si>
    <t>ANM2026000002552</t>
  </si>
  <si>
    <t>382-383-398--399</t>
  </si>
  <si>
    <t>382-383-398--400</t>
  </si>
  <si>
    <t>384-385-397</t>
  </si>
  <si>
    <t>A PARSEL İSTİNAT ÇEVRE DUVARI</t>
  </si>
  <si>
    <t>ANM2026000002591</t>
  </si>
  <si>
    <t>391-392-393-396-386</t>
  </si>
  <si>
    <t>ANM2026000002596</t>
  </si>
  <si>
    <t>ANM2026000002704</t>
  </si>
  <si>
    <t>ANM2026000002784</t>
  </si>
  <si>
    <t>ANM2026000002776</t>
  </si>
  <si>
    <t>ANM2026000002780</t>
  </si>
  <si>
    <t>ANM2026000002788</t>
  </si>
  <si>
    <t>387-388-389-390-394-395</t>
  </si>
  <si>
    <t>ANM2026000002747</t>
  </si>
  <si>
    <t>ANM2026000002751</t>
  </si>
  <si>
    <t>ANM2026000002832</t>
  </si>
  <si>
    <t>ANM2026000002830</t>
  </si>
  <si>
    <t>ANM2026000002831</t>
  </si>
  <si>
    <t>34 DYB 010</t>
  </si>
  <si>
    <t>215-217</t>
  </si>
  <si>
    <t>ANM2026000002871</t>
  </si>
  <si>
    <t>ANM2026000002875</t>
  </si>
  <si>
    <t>D PARSEL İSTİNAT ÇEVRE DUVARI</t>
  </si>
  <si>
    <t>ANM2026000002884</t>
  </si>
  <si>
    <t>ANM2026000002880</t>
  </si>
  <si>
    <t>14;03</t>
  </si>
  <si>
    <t>ANM2026000002914</t>
  </si>
  <si>
    <t>ANM2026000002922</t>
  </si>
  <si>
    <t>ANM2026000002916</t>
  </si>
  <si>
    <t>ANM2026000002926</t>
  </si>
  <si>
    <t>ANM2026000002936</t>
  </si>
  <si>
    <t>ANM2026000002937</t>
  </si>
  <si>
    <t>ANM2026000002935</t>
  </si>
  <si>
    <t>207-209-213-219 NUMARALI KAZIKLAR</t>
  </si>
  <si>
    <t>ANM2026000002969</t>
  </si>
  <si>
    <t>34 YDB 010</t>
  </si>
  <si>
    <t>ANM2026000002970</t>
  </si>
  <si>
    <t>ANM2026000002971</t>
  </si>
  <si>
    <t>211 VE 218 NUMARALI KAZIKLAR</t>
  </si>
  <si>
    <t>ANM2026000003025</t>
  </si>
  <si>
    <t>D PARSEL KULEVİNÇ TEMELİ  GROBETON</t>
  </si>
  <si>
    <t>ANM2026000003028</t>
  </si>
  <si>
    <t>208 VE 216 NUMARALI KAZIKLAR</t>
  </si>
  <si>
    <t>ANM2026000003020</t>
  </si>
  <si>
    <t>ANM2026000003012</t>
  </si>
  <si>
    <t>ANM2026000003037</t>
  </si>
  <si>
    <t>B PARSEL PEYZAJ ALANI YÜRÜYÜŞ YOLU BETONU</t>
  </si>
  <si>
    <t>ANM2026000003045</t>
  </si>
  <si>
    <t>ANM2026000003044</t>
  </si>
  <si>
    <t>ANM2026000003043</t>
  </si>
  <si>
    <t>ANM2026000003042</t>
  </si>
  <si>
    <t>ANM2026000003039</t>
  </si>
  <si>
    <t>ANM2026000003041</t>
  </si>
  <si>
    <t>ANM2026000003040</t>
  </si>
  <si>
    <t>İSTİNAT DUVARI TEMEL BETONU</t>
  </si>
  <si>
    <t>ANM2026000003051</t>
  </si>
  <si>
    <t>231 NUMARALI KAZIK</t>
  </si>
  <si>
    <t>210 VE 230 NUMARALI KAZIKLAR</t>
  </si>
  <si>
    <t>ANM2026000003130</t>
  </si>
  <si>
    <t>ANM2026000003129</t>
  </si>
  <si>
    <t>ANM2026000003128</t>
  </si>
  <si>
    <t>MİLTAŞ BETON</t>
  </si>
  <si>
    <t>SAM2026000008203</t>
  </si>
  <si>
    <t>SAM2026000008188</t>
  </si>
  <si>
    <t>SAM2026000008185</t>
  </si>
  <si>
    <t>SAM2026000008166</t>
  </si>
  <si>
    <t>SAM2026000008164</t>
  </si>
  <si>
    <t>SAM2026000008148</t>
  </si>
  <si>
    <t>212-229-214-228 NUMARALI KAZIKLAR</t>
  </si>
  <si>
    <t>FRT2026000000018</t>
  </si>
  <si>
    <t>KULEVINÇ TEMEL BETONU</t>
  </si>
  <si>
    <t>FRT2026000000020</t>
  </si>
  <si>
    <t>FRT2026000000022</t>
  </si>
  <si>
    <t>FRT2026000000019</t>
  </si>
  <si>
    <t>ANM2026000003155</t>
  </si>
  <si>
    <t>ANM2026000003154</t>
  </si>
  <si>
    <t>ANM2026000003152</t>
  </si>
  <si>
    <t>220-221-225-226-227 NUMARALI KAZIKLAR</t>
  </si>
  <si>
    <t>ANM2026000003164</t>
  </si>
  <si>
    <t>A PARSEL DOLGU BETONU</t>
  </si>
  <si>
    <t>FRT2026000000042</t>
  </si>
  <si>
    <t>FRT2026000000037</t>
  </si>
  <si>
    <t>FRT2026000000036</t>
  </si>
  <si>
    <t>FRT2026000000035</t>
  </si>
  <si>
    <t>222-223-224 NUMARALI KAZIKLAR</t>
  </si>
  <si>
    <t>SAM2026000008514</t>
  </si>
  <si>
    <t>ANM2026000003176</t>
  </si>
  <si>
    <t>SAM2026000008509</t>
  </si>
  <si>
    <t>SAM2026000008507</t>
  </si>
  <si>
    <t>SAM2026000008511</t>
  </si>
  <si>
    <t>ANM2026000003175</t>
  </si>
  <si>
    <t>SAM2026000008500</t>
  </si>
  <si>
    <t>SAM2026000008495</t>
  </si>
  <si>
    <t>SAM2026000008492</t>
  </si>
  <si>
    <t>FRT2026000000055</t>
  </si>
  <si>
    <t>FRT2026000000054</t>
  </si>
  <si>
    <t>FRT2026000000053</t>
  </si>
  <si>
    <t>ANM2026000003174</t>
  </si>
  <si>
    <t>ANM2026000003173</t>
  </si>
  <si>
    <t>ANM2026000003172</t>
  </si>
  <si>
    <t>2 ADET KULEVİNÇ TEMELİ</t>
  </si>
  <si>
    <t>SAM2026000008533</t>
  </si>
  <si>
    <t>ANM2026000003179</t>
  </si>
  <si>
    <t>SAM2026000008529</t>
  </si>
  <si>
    <t>ANM2026000003178</t>
  </si>
  <si>
    <t>ANM2026000003177</t>
  </si>
  <si>
    <t>SAM2026000008530</t>
  </si>
  <si>
    <t>ANM2026000003191</t>
  </si>
  <si>
    <t>ANM2026000003187</t>
  </si>
  <si>
    <t>45 NUMARALI KAZIK</t>
  </si>
  <si>
    <t>ANM2026000003225</t>
  </si>
  <si>
    <t>ANM2026000003221</t>
  </si>
  <si>
    <t>ANM2026000003227</t>
  </si>
  <si>
    <t>ANM2026000003228</t>
  </si>
  <si>
    <t>ANM2026000003226</t>
  </si>
  <si>
    <t>ANM2026000003219</t>
  </si>
  <si>
    <t>43 NUMARALI KAZIK</t>
  </si>
  <si>
    <t>ANM2026000003257</t>
  </si>
  <si>
    <t>ANM2026000003252</t>
  </si>
  <si>
    <t>ANM2026000003260</t>
  </si>
  <si>
    <t>ANM2026000003261</t>
  </si>
  <si>
    <t>FRT2026000000126</t>
  </si>
  <si>
    <t>ANM2026000003245</t>
  </si>
  <si>
    <t>ANM2026000003242</t>
  </si>
  <si>
    <t>FRT2026000000094</t>
  </si>
  <si>
    <t>FRT2026000000091</t>
  </si>
  <si>
    <t>FRT2026000000069</t>
  </si>
  <si>
    <t>FRT2026000000075</t>
  </si>
  <si>
    <t>44 VE 46 NUMARALI KAZIKLAR</t>
  </si>
  <si>
    <t>34 DYR 029</t>
  </si>
  <si>
    <t>FRT2026000000111</t>
  </si>
  <si>
    <t>FRT2026000000107</t>
  </si>
  <si>
    <t>FRT2026000000095</t>
  </si>
  <si>
    <t>SAM2026000009006</t>
  </si>
  <si>
    <t>FRT2026000000121</t>
  </si>
  <si>
    <t>FRT2026000000118</t>
  </si>
  <si>
    <t>41, 42 VE 47 NUMARALI KAZIKLAR</t>
  </si>
  <si>
    <t>39,40,48,49 NUMARALI KAZIKLAR</t>
  </si>
  <si>
    <t>38 VE 52 NUMARALI KAZIKLAR</t>
  </si>
  <si>
    <t>ANM2026000003294</t>
  </si>
  <si>
    <t>ABB2026000000213</t>
  </si>
  <si>
    <t>FRT2026000000157</t>
  </si>
  <si>
    <t>FRT2026000000171</t>
  </si>
  <si>
    <t>ANM2026000003312</t>
  </si>
  <si>
    <t>ANM2026000003308</t>
  </si>
  <si>
    <t>ANM2026000003311</t>
  </si>
  <si>
    <t>37 VE 51 NUMARALI KAZIKLAR</t>
  </si>
  <si>
    <t>FRT2026000000205</t>
  </si>
  <si>
    <t>FRT2026000000199</t>
  </si>
  <si>
    <t>FRT2026000000196</t>
  </si>
  <si>
    <t>FRT2026000000201</t>
  </si>
  <si>
    <t>FRT2026000000203</t>
  </si>
  <si>
    <t>ANADOLU ANONİM</t>
  </si>
  <si>
    <t>26 VE 27 NUMARALI KAZIKLAR</t>
  </si>
  <si>
    <t>ANM2026000003351</t>
  </si>
  <si>
    <t>ANM2026000003352</t>
  </si>
  <si>
    <t>ANM2026000003350</t>
  </si>
  <si>
    <t>31 NUMARALI KAZIK</t>
  </si>
  <si>
    <t>İSTİNAT DUVARI GROBETONU</t>
  </si>
  <si>
    <t>88 M3 TEN 4 M3 İADE, 3 M3 DENER BAHÇE DUVARI</t>
  </si>
  <si>
    <t>FRT2026000000235</t>
  </si>
  <si>
    <t>FRT2026000000233</t>
  </si>
  <si>
    <t>SAM2026000009842</t>
  </si>
  <si>
    <t>FRT2026000000232</t>
  </si>
  <si>
    <t>FRT2026000000229</t>
  </si>
  <si>
    <t>FRT2026000000228</t>
  </si>
  <si>
    <t>FRT2026000000227</t>
  </si>
  <si>
    <t>FRT2026000000223</t>
  </si>
  <si>
    <t>FRT2026000000224</t>
  </si>
  <si>
    <t>FRT2026000000230</t>
  </si>
  <si>
    <t>FRT2026000000226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</si>
</sst>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4"/>
      <color theme="0"/>
      <name val="Arial"/>
      <family val="2"/>
      <charset val="162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2" xfId="0" applyFont="1" applyFill="1" applyBorder="1" applyAlignment="1" applyProtection="1">
      <alignment vertical="center" wrapText="1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5" fillId="2" borderId="0" xfId="0" applyFont="1" applyFill="1"/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quotePrefix="1"/>
    <xf numFmtId="0" fontId="0" fillId="3" borderId="0" xfId="0" applyFill="1"/>
    <xf numFmtId="0" fontId="0" fillId="0" borderId="0" xfId="0" applyAlignment="1">
      <alignment vertical="center"/>
    </xf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0" fontId="4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0" xfId="2"/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3">
    <cellStyle name="Köprü" xfId="2" builtinId="8"/>
    <cellStyle name="Normal" xfId="0" builtinId="0"/>
    <cellStyle name="Normal 3" xfId="1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J505"/>
  <sheetViews>
    <sheetView tabSelected="1" topLeftCell="B190" zoomScale="80" zoomScaleNormal="80" workbookViewId="0">
      <selection activeCell="I199" sqref="I199"/>
    </sheetView>
  </sheetViews>
  <sheetFormatPr defaultRowHeight="14.4" x14ac:dyDescent="0.3"/>
  <cols>
    <col min="1" max="1" width="2.33203125" customWidth="1"/>
    <col min="2" max="2" width="5.88671875" customWidth="1"/>
    <col min="3" max="3" width="9.33203125" bestFit="1" customWidth="1"/>
    <col min="4" max="4" width="15" bestFit="1" customWidth="1"/>
    <col min="5" max="5" width="11.88671875" bestFit="1" customWidth="1"/>
    <col min="6" max="6" width="19.44140625" bestFit="1" customWidth="1"/>
    <col min="7" max="7" width="15.6640625" bestFit="1" customWidth="1"/>
    <col min="8" max="8" width="7.33203125" bestFit="1" customWidth="1"/>
    <col min="9" max="9" width="12.6640625" bestFit="1" customWidth="1"/>
    <col min="10" max="10" width="15.88671875" bestFit="1" customWidth="1"/>
    <col min="11" max="12" width="15.33203125" customWidth="1"/>
    <col min="13" max="13" width="18.44140625" bestFit="1" customWidth="1"/>
    <col min="14" max="14" width="19" bestFit="1" customWidth="1"/>
    <col min="15" max="16" width="11.109375" bestFit="1" customWidth="1"/>
    <col min="17" max="17" width="6.33203125" bestFit="1" customWidth="1"/>
    <col min="18" max="18" width="5.5546875" bestFit="1" customWidth="1"/>
    <col min="19" max="19" width="10.6640625" customWidth="1"/>
    <col min="20" max="20" width="12" bestFit="1" customWidth="1"/>
    <col min="21" max="21" width="7.6640625" bestFit="1" customWidth="1"/>
    <col min="22" max="22" width="14.88671875" customWidth="1"/>
    <col min="23" max="23" width="12.44140625" bestFit="1" customWidth="1"/>
    <col min="24" max="24" width="17.5546875" bestFit="1" customWidth="1"/>
    <col min="25" max="25" width="16.88671875" bestFit="1" customWidth="1"/>
    <col min="26" max="27" width="23.88671875" bestFit="1" customWidth="1"/>
    <col min="28" max="28" width="50" bestFit="1" customWidth="1"/>
  </cols>
  <sheetData>
    <row r="1" spans="2:28" x14ac:dyDescent="0.3">
      <c r="P1" s="24" t="s">
        <v>274</v>
      </c>
      <c r="S1" s="24" t="s">
        <v>277</v>
      </c>
      <c r="T1" s="24" t="s">
        <v>275</v>
      </c>
      <c r="U1" s="24" t="s">
        <v>276</v>
      </c>
      <c r="V1" s="24" t="s">
        <v>278</v>
      </c>
      <c r="W1" s="24" t="s">
        <v>279</v>
      </c>
    </row>
    <row r="2" spans="2:28" ht="15" thickBot="1" x14ac:dyDescent="0.35">
      <c r="V2" t="s">
        <v>269</v>
      </c>
      <c r="W2" t="s">
        <v>269</v>
      </c>
      <c r="X2" t="s">
        <v>270</v>
      </c>
      <c r="Y2" t="s">
        <v>271</v>
      </c>
      <c r="Z2" t="s">
        <v>272</v>
      </c>
      <c r="AA2" t="s">
        <v>273</v>
      </c>
    </row>
    <row r="3" spans="2:28" ht="18" thickBot="1" x14ac:dyDescent="0.35">
      <c r="B3" s="4" t="s">
        <v>18</v>
      </c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3"/>
    </row>
    <row r="4" spans="2:28" s="10" customFormat="1" ht="28.8" x14ac:dyDescent="0.3">
      <c r="B4" s="14" t="s">
        <v>0</v>
      </c>
      <c r="C4" s="15" t="s">
        <v>1</v>
      </c>
      <c r="D4" s="14" t="s">
        <v>2</v>
      </c>
      <c r="E4" s="14" t="s">
        <v>3</v>
      </c>
      <c r="F4" s="14" t="s">
        <v>4</v>
      </c>
      <c r="G4" s="14" t="s">
        <v>5</v>
      </c>
      <c r="H4" s="15" t="s">
        <v>6</v>
      </c>
      <c r="I4" s="14" t="s">
        <v>7</v>
      </c>
      <c r="J4" s="14" t="s">
        <v>203</v>
      </c>
      <c r="K4" s="16" t="s">
        <v>210</v>
      </c>
      <c r="L4" s="16" t="s">
        <v>211</v>
      </c>
      <c r="M4" s="14" t="s">
        <v>212</v>
      </c>
      <c r="N4" s="14" t="s">
        <v>209</v>
      </c>
      <c r="O4" s="14" t="s">
        <v>208</v>
      </c>
      <c r="P4" s="14" t="s">
        <v>8</v>
      </c>
      <c r="Q4" s="14" t="s">
        <v>9</v>
      </c>
      <c r="R4" s="14" t="s">
        <v>10</v>
      </c>
      <c r="S4" s="14" t="s">
        <v>35</v>
      </c>
      <c r="T4" s="14" t="s">
        <v>206</v>
      </c>
      <c r="U4" s="14" t="s">
        <v>207</v>
      </c>
      <c r="V4" s="17" t="s">
        <v>12</v>
      </c>
      <c r="W4" s="17" t="s">
        <v>13</v>
      </c>
      <c r="X4" s="17" t="s">
        <v>14</v>
      </c>
      <c r="Y4" s="17" t="s">
        <v>114</v>
      </c>
      <c r="Z4" s="17" t="s">
        <v>16</v>
      </c>
      <c r="AA4" s="17" t="s">
        <v>15</v>
      </c>
      <c r="AB4" s="17" t="s">
        <v>17</v>
      </c>
    </row>
    <row r="5" spans="2:28" x14ac:dyDescent="0.3">
      <c r="B5">
        <v>1</v>
      </c>
      <c r="D5" t="s">
        <v>216</v>
      </c>
      <c r="E5" t="s">
        <v>217</v>
      </c>
      <c r="F5" t="s">
        <v>218</v>
      </c>
      <c r="G5" t="s">
        <v>219</v>
      </c>
      <c r="I5" s="11" t="s">
        <v>254</v>
      </c>
      <c r="J5" s="12">
        <v>0</v>
      </c>
      <c r="K5" s="12">
        <v>0</v>
      </c>
      <c r="L5" s="12">
        <v>0</v>
      </c>
      <c r="M5" s="13">
        <v>0</v>
      </c>
      <c r="N5" s="13">
        <v>0</v>
      </c>
      <c r="O5" s="13">
        <f>+M5-N5</f>
        <v>0</v>
      </c>
      <c r="P5" s="9" t="s">
        <v>24</v>
      </c>
      <c r="Q5">
        <v>6</v>
      </c>
      <c r="R5" t="s">
        <v>260</v>
      </c>
      <c r="S5" s="9" t="s">
        <v>124</v>
      </c>
      <c r="T5" s="9"/>
      <c r="U5" s="9"/>
      <c r="V5" s="9" t="s">
        <v>76</v>
      </c>
      <c r="W5" s="9" t="s">
        <v>145</v>
      </c>
      <c r="X5" s="9" t="s">
        <v>65</v>
      </c>
      <c r="Y5" s="9" t="s">
        <v>151</v>
      </c>
      <c r="Z5" s="9" t="s">
        <v>158</v>
      </c>
      <c r="AA5" s="9" t="s">
        <v>158</v>
      </c>
      <c r="AB5" t="s">
        <v>261</v>
      </c>
    </row>
    <row r="6" spans="2:28" x14ac:dyDescent="0.3">
      <c r="B6">
        <f>+B5+1</f>
        <v>2</v>
      </c>
      <c r="D6" t="s">
        <v>220</v>
      </c>
      <c r="E6" t="s">
        <v>221</v>
      </c>
      <c r="F6" t="s">
        <v>222</v>
      </c>
      <c r="G6" t="s">
        <v>219</v>
      </c>
      <c r="I6" t="s">
        <v>255</v>
      </c>
      <c r="J6" s="12">
        <v>0</v>
      </c>
      <c r="K6" s="12">
        <v>0</v>
      </c>
      <c r="L6" s="12">
        <v>0</v>
      </c>
      <c r="M6" s="13">
        <v>0</v>
      </c>
      <c r="N6" s="13">
        <v>0</v>
      </c>
      <c r="O6" s="13">
        <f t="shared" ref="O6:O68" si="0">+M6-N6</f>
        <v>0</v>
      </c>
      <c r="P6" s="9" t="s">
        <v>21</v>
      </c>
      <c r="Q6">
        <v>10</v>
      </c>
      <c r="R6" t="s">
        <v>260</v>
      </c>
      <c r="S6" s="9" t="s">
        <v>124</v>
      </c>
      <c r="T6" s="9"/>
      <c r="U6" s="9"/>
      <c r="V6" s="9" t="s">
        <v>76</v>
      </c>
      <c r="W6" s="9" t="s">
        <v>145</v>
      </c>
      <c r="X6" s="9" t="s">
        <v>65</v>
      </c>
      <c r="Y6" s="9" t="s">
        <v>151</v>
      </c>
      <c r="Z6" s="9" t="s">
        <v>158</v>
      </c>
      <c r="AA6" s="9" t="s">
        <v>158</v>
      </c>
      <c r="AB6" t="s">
        <v>262</v>
      </c>
    </row>
    <row r="7" spans="2:28" x14ac:dyDescent="0.3">
      <c r="B7">
        <f t="shared" ref="B7:B70" si="1">+B6+1</f>
        <v>3</v>
      </c>
      <c r="D7" t="s">
        <v>223</v>
      </c>
      <c r="E7" t="s">
        <v>221</v>
      </c>
      <c r="F7" t="s">
        <v>224</v>
      </c>
      <c r="G7" t="s">
        <v>219</v>
      </c>
      <c r="I7" t="s">
        <v>255</v>
      </c>
      <c r="J7" s="12">
        <v>0</v>
      </c>
      <c r="K7" s="12">
        <v>0</v>
      </c>
      <c r="L7" s="12">
        <v>0</v>
      </c>
      <c r="M7" s="13">
        <v>0</v>
      </c>
      <c r="N7" s="13">
        <v>0</v>
      </c>
      <c r="O7" s="13">
        <f t="shared" si="0"/>
        <v>0</v>
      </c>
      <c r="P7" s="9" t="s">
        <v>24</v>
      </c>
      <c r="Q7">
        <v>8</v>
      </c>
      <c r="R7" t="s">
        <v>260</v>
      </c>
      <c r="S7" s="9" t="s">
        <v>124</v>
      </c>
      <c r="T7" s="9"/>
      <c r="U7" s="9"/>
      <c r="V7" s="9" t="s">
        <v>76</v>
      </c>
      <c r="W7" s="9" t="s">
        <v>145</v>
      </c>
      <c r="X7" s="9" t="s">
        <v>65</v>
      </c>
      <c r="Y7" s="9" t="s">
        <v>151</v>
      </c>
      <c r="Z7" s="9" t="s">
        <v>158</v>
      </c>
      <c r="AA7" s="9" t="s">
        <v>158</v>
      </c>
      <c r="AB7" t="s">
        <v>263</v>
      </c>
    </row>
    <row r="8" spans="2:28" x14ac:dyDescent="0.3">
      <c r="B8">
        <f t="shared" si="1"/>
        <v>4</v>
      </c>
      <c r="D8" t="s">
        <v>225</v>
      </c>
      <c r="E8" t="s">
        <v>221</v>
      </c>
      <c r="F8" t="s">
        <v>226</v>
      </c>
      <c r="G8" t="s">
        <v>219</v>
      </c>
      <c r="I8" t="s">
        <v>256</v>
      </c>
      <c r="J8" s="12">
        <v>0</v>
      </c>
      <c r="K8" s="12">
        <v>0</v>
      </c>
      <c r="L8" s="12">
        <v>0</v>
      </c>
      <c r="M8" s="13">
        <v>0</v>
      </c>
      <c r="N8" s="13">
        <v>0</v>
      </c>
      <c r="O8" s="13">
        <f t="shared" si="0"/>
        <v>0</v>
      </c>
      <c r="P8" s="9" t="s">
        <v>24</v>
      </c>
      <c r="Q8">
        <v>9</v>
      </c>
      <c r="R8" t="s">
        <v>260</v>
      </c>
      <c r="S8" s="9" t="s">
        <v>11</v>
      </c>
      <c r="T8" s="9"/>
      <c r="U8" s="9"/>
      <c r="V8" s="9" t="s">
        <v>76</v>
      </c>
      <c r="W8" s="9" t="s">
        <v>145</v>
      </c>
      <c r="X8" s="9" t="s">
        <v>65</v>
      </c>
      <c r="Y8" s="9" t="s">
        <v>151</v>
      </c>
      <c r="Z8" s="9" t="s">
        <v>158</v>
      </c>
      <c r="AA8" s="9" t="s">
        <v>158</v>
      </c>
      <c r="AB8" t="s">
        <v>264</v>
      </c>
    </row>
    <row r="9" spans="2:28" x14ac:dyDescent="0.3">
      <c r="B9">
        <f t="shared" si="1"/>
        <v>5</v>
      </c>
      <c r="D9" t="s">
        <v>227</v>
      </c>
      <c r="E9" t="s">
        <v>221</v>
      </c>
      <c r="F9" t="s">
        <v>228</v>
      </c>
      <c r="G9" t="s">
        <v>219</v>
      </c>
      <c r="I9" t="s">
        <v>256</v>
      </c>
      <c r="J9" s="12">
        <v>0</v>
      </c>
      <c r="K9" s="12">
        <v>0</v>
      </c>
      <c r="L9" s="12">
        <v>0</v>
      </c>
      <c r="M9" s="13">
        <v>0</v>
      </c>
      <c r="N9" s="13">
        <v>0</v>
      </c>
      <c r="O9" s="13">
        <f t="shared" si="0"/>
        <v>0</v>
      </c>
      <c r="P9" s="9" t="s">
        <v>24</v>
      </c>
      <c r="Q9">
        <v>9</v>
      </c>
      <c r="R9" t="s">
        <v>260</v>
      </c>
      <c r="S9" s="9" t="s">
        <v>11</v>
      </c>
      <c r="T9" s="9"/>
      <c r="U9" s="9"/>
      <c r="V9" s="9" t="s">
        <v>76</v>
      </c>
      <c r="W9" s="9" t="s">
        <v>145</v>
      </c>
      <c r="X9" s="9" t="s">
        <v>65</v>
      </c>
      <c r="Y9" s="9" t="s">
        <v>151</v>
      </c>
      <c r="Z9" s="9" t="s">
        <v>158</v>
      </c>
      <c r="AA9" s="9" t="s">
        <v>158</v>
      </c>
      <c r="AB9" t="s">
        <v>264</v>
      </c>
    </row>
    <row r="10" spans="2:28" x14ac:dyDescent="0.3">
      <c r="B10">
        <f t="shared" si="1"/>
        <v>6</v>
      </c>
      <c r="D10" t="s">
        <v>229</v>
      </c>
      <c r="E10" t="s">
        <v>221</v>
      </c>
      <c r="F10" t="s">
        <v>230</v>
      </c>
      <c r="G10" t="s">
        <v>219</v>
      </c>
      <c r="I10" t="s">
        <v>257</v>
      </c>
      <c r="J10" s="12">
        <v>0</v>
      </c>
      <c r="K10" s="12">
        <v>0</v>
      </c>
      <c r="L10" s="12">
        <v>0</v>
      </c>
      <c r="M10" s="13">
        <v>0</v>
      </c>
      <c r="N10" s="13">
        <v>0</v>
      </c>
      <c r="O10" s="13">
        <f t="shared" si="0"/>
        <v>0</v>
      </c>
      <c r="P10" s="9" t="s">
        <v>24</v>
      </c>
      <c r="Q10">
        <v>10</v>
      </c>
      <c r="R10" t="s">
        <v>260</v>
      </c>
      <c r="S10" s="9" t="s">
        <v>11</v>
      </c>
      <c r="T10" s="9"/>
      <c r="U10" s="9"/>
      <c r="V10" s="9" t="s">
        <v>76</v>
      </c>
      <c r="W10" s="9" t="s">
        <v>145</v>
      </c>
      <c r="X10" s="9" t="s">
        <v>65</v>
      </c>
      <c r="Y10" s="9" t="s">
        <v>151</v>
      </c>
      <c r="Z10" s="9" t="s">
        <v>158</v>
      </c>
      <c r="AA10" s="9" t="s">
        <v>158</v>
      </c>
      <c r="AB10" t="s">
        <v>265</v>
      </c>
    </row>
    <row r="11" spans="2:28" x14ac:dyDescent="0.3">
      <c r="B11">
        <f t="shared" si="1"/>
        <v>7</v>
      </c>
      <c r="D11" t="s">
        <v>231</v>
      </c>
      <c r="E11" t="s">
        <v>221</v>
      </c>
      <c r="F11" t="s">
        <v>232</v>
      </c>
      <c r="G11" t="s">
        <v>219</v>
      </c>
      <c r="I11" t="s">
        <v>257</v>
      </c>
      <c r="J11" s="12">
        <v>0</v>
      </c>
      <c r="K11" s="12">
        <v>0</v>
      </c>
      <c r="L11" s="12">
        <v>0</v>
      </c>
      <c r="M11" s="13">
        <v>0</v>
      </c>
      <c r="N11" s="13">
        <v>0</v>
      </c>
      <c r="O11" s="13">
        <f>+M11-N11</f>
        <v>0</v>
      </c>
      <c r="P11" s="9" t="s">
        <v>24</v>
      </c>
      <c r="Q11">
        <v>10</v>
      </c>
      <c r="R11" t="s">
        <v>260</v>
      </c>
      <c r="S11" s="9" t="s">
        <v>11</v>
      </c>
      <c r="T11" s="9"/>
      <c r="U11" s="9"/>
      <c r="V11" s="9" t="s">
        <v>76</v>
      </c>
      <c r="W11" s="9" t="s">
        <v>145</v>
      </c>
      <c r="X11" s="9" t="s">
        <v>65</v>
      </c>
      <c r="Y11" s="9" t="s">
        <v>151</v>
      </c>
      <c r="Z11" s="9" t="s">
        <v>158</v>
      </c>
      <c r="AA11" s="9" t="s">
        <v>158</v>
      </c>
      <c r="AB11" t="s">
        <v>265</v>
      </c>
    </row>
    <row r="12" spans="2:28" x14ac:dyDescent="0.3">
      <c r="B12">
        <f t="shared" si="1"/>
        <v>8</v>
      </c>
      <c r="D12" t="s">
        <v>233</v>
      </c>
      <c r="E12" t="s">
        <v>221</v>
      </c>
      <c r="F12" t="s">
        <v>234</v>
      </c>
      <c r="G12" t="s">
        <v>219</v>
      </c>
      <c r="I12" t="s">
        <v>257</v>
      </c>
      <c r="J12" s="12">
        <v>0</v>
      </c>
      <c r="K12" s="12">
        <v>0</v>
      </c>
      <c r="L12" s="12">
        <v>0</v>
      </c>
      <c r="M12" s="13">
        <v>0</v>
      </c>
      <c r="N12" s="13">
        <v>0</v>
      </c>
      <c r="O12" s="13">
        <f t="shared" si="0"/>
        <v>0</v>
      </c>
      <c r="P12" s="9" t="s">
        <v>24</v>
      </c>
      <c r="Q12">
        <v>10</v>
      </c>
      <c r="R12" t="s">
        <v>260</v>
      </c>
      <c r="S12" s="9" t="s">
        <v>11</v>
      </c>
      <c r="T12" s="9"/>
      <c r="U12" s="9"/>
      <c r="V12" s="9" t="s">
        <v>76</v>
      </c>
      <c r="W12" s="9" t="s">
        <v>145</v>
      </c>
      <c r="X12" s="9" t="s">
        <v>65</v>
      </c>
      <c r="Y12" s="9" t="s">
        <v>151</v>
      </c>
      <c r="Z12" s="9" t="s">
        <v>158</v>
      </c>
      <c r="AA12" s="9" t="s">
        <v>158</v>
      </c>
      <c r="AB12" t="s">
        <v>265</v>
      </c>
    </row>
    <row r="13" spans="2:28" x14ac:dyDescent="0.3">
      <c r="B13">
        <f t="shared" si="1"/>
        <v>9</v>
      </c>
      <c r="D13" t="s">
        <v>235</v>
      </c>
      <c r="E13" t="s">
        <v>221</v>
      </c>
      <c r="F13" t="s">
        <v>236</v>
      </c>
      <c r="G13" t="s">
        <v>219</v>
      </c>
      <c r="I13" t="s">
        <v>257</v>
      </c>
      <c r="J13" s="12">
        <v>0</v>
      </c>
      <c r="K13" s="12">
        <v>0</v>
      </c>
      <c r="L13" s="12">
        <v>0</v>
      </c>
      <c r="M13" s="13">
        <v>0</v>
      </c>
      <c r="N13" s="13">
        <v>0</v>
      </c>
      <c r="O13" s="13">
        <f t="shared" si="0"/>
        <v>0</v>
      </c>
      <c r="P13" s="9" t="s">
        <v>24</v>
      </c>
      <c r="Q13">
        <v>10</v>
      </c>
      <c r="R13" t="s">
        <v>260</v>
      </c>
      <c r="S13" s="9" t="s">
        <v>11</v>
      </c>
      <c r="T13" s="9"/>
      <c r="U13" s="9"/>
      <c r="V13" s="9" t="s">
        <v>76</v>
      </c>
      <c r="W13" s="9" t="s">
        <v>145</v>
      </c>
      <c r="X13" s="9" t="s">
        <v>65</v>
      </c>
      <c r="Y13" s="9" t="s">
        <v>151</v>
      </c>
      <c r="Z13" s="9" t="s">
        <v>158</v>
      </c>
      <c r="AA13" s="9" t="s">
        <v>158</v>
      </c>
      <c r="AB13" t="s">
        <v>265</v>
      </c>
    </row>
    <row r="14" spans="2:28" x14ac:dyDescent="0.3">
      <c r="B14">
        <f t="shared" si="1"/>
        <v>10</v>
      </c>
      <c r="D14" t="s">
        <v>231</v>
      </c>
      <c r="E14" t="s">
        <v>221</v>
      </c>
      <c r="F14" t="s">
        <v>237</v>
      </c>
      <c r="G14" t="s">
        <v>219</v>
      </c>
      <c r="I14" t="s">
        <v>257</v>
      </c>
      <c r="J14" s="12">
        <v>0</v>
      </c>
      <c r="K14" s="12">
        <v>0</v>
      </c>
      <c r="L14" s="12">
        <v>0</v>
      </c>
      <c r="M14" s="13">
        <v>0</v>
      </c>
      <c r="N14" s="13">
        <v>0</v>
      </c>
      <c r="O14" s="13">
        <f t="shared" si="0"/>
        <v>0</v>
      </c>
      <c r="P14" s="9" t="s">
        <v>24</v>
      </c>
      <c r="Q14">
        <v>10</v>
      </c>
      <c r="R14" t="s">
        <v>260</v>
      </c>
      <c r="S14" s="9" t="s">
        <v>11</v>
      </c>
      <c r="T14" s="9"/>
      <c r="U14" s="9"/>
      <c r="V14" s="9" t="s">
        <v>76</v>
      </c>
      <c r="W14" s="9" t="s">
        <v>145</v>
      </c>
      <c r="X14" s="9" t="s">
        <v>65</v>
      </c>
      <c r="Y14" s="9" t="s">
        <v>151</v>
      </c>
      <c r="Z14" s="9" t="s">
        <v>158</v>
      </c>
      <c r="AA14" s="9" t="s">
        <v>158</v>
      </c>
      <c r="AB14" t="s">
        <v>265</v>
      </c>
    </row>
    <row r="15" spans="2:28" x14ac:dyDescent="0.3">
      <c r="B15">
        <f t="shared" si="1"/>
        <v>11</v>
      </c>
      <c r="D15" t="s">
        <v>216</v>
      </c>
      <c r="E15" t="s">
        <v>221</v>
      </c>
      <c r="F15" t="s">
        <v>238</v>
      </c>
      <c r="G15" t="s">
        <v>219</v>
      </c>
      <c r="I15" t="s">
        <v>258</v>
      </c>
      <c r="J15" s="12">
        <v>0</v>
      </c>
      <c r="K15" s="12">
        <v>0</v>
      </c>
      <c r="L15" s="12">
        <v>0</v>
      </c>
      <c r="M15" s="13">
        <v>0</v>
      </c>
      <c r="N15" s="13">
        <v>0</v>
      </c>
      <c r="O15" s="13">
        <f>+M15-N15</f>
        <v>0</v>
      </c>
      <c r="P15" s="9" t="s">
        <v>24</v>
      </c>
      <c r="Q15">
        <v>10</v>
      </c>
      <c r="R15" t="s">
        <v>260</v>
      </c>
      <c r="S15" s="9" t="s">
        <v>11</v>
      </c>
      <c r="T15" s="9"/>
      <c r="U15" s="9"/>
      <c r="V15" s="9" t="s">
        <v>76</v>
      </c>
      <c r="W15" s="9" t="s">
        <v>145</v>
      </c>
      <c r="X15" s="9" t="s">
        <v>65</v>
      </c>
      <c r="Y15" s="9" t="s">
        <v>151</v>
      </c>
      <c r="Z15" s="9" t="s">
        <v>158</v>
      </c>
      <c r="AA15" s="9" t="s">
        <v>158</v>
      </c>
      <c r="AB15" t="s">
        <v>266</v>
      </c>
    </row>
    <row r="16" spans="2:28" x14ac:dyDescent="0.3">
      <c r="B16">
        <f t="shared" si="1"/>
        <v>12</v>
      </c>
      <c r="D16" t="s">
        <v>229</v>
      </c>
      <c r="E16" t="s">
        <v>221</v>
      </c>
      <c r="F16" t="s">
        <v>239</v>
      </c>
      <c r="G16" t="s">
        <v>219</v>
      </c>
      <c r="I16" t="s">
        <v>258</v>
      </c>
      <c r="J16" s="12">
        <v>0</v>
      </c>
      <c r="K16" s="12">
        <v>0</v>
      </c>
      <c r="L16" s="12">
        <v>0</v>
      </c>
      <c r="M16" s="13">
        <v>0</v>
      </c>
      <c r="N16" s="13">
        <v>0</v>
      </c>
      <c r="O16" s="13">
        <f t="shared" si="0"/>
        <v>0</v>
      </c>
      <c r="P16" s="9" t="s">
        <v>24</v>
      </c>
      <c r="Q16">
        <v>10</v>
      </c>
      <c r="R16" t="s">
        <v>260</v>
      </c>
      <c r="S16" s="9" t="s">
        <v>11</v>
      </c>
      <c r="T16" s="9"/>
      <c r="U16" s="9"/>
      <c r="V16" s="9" t="s">
        <v>76</v>
      </c>
      <c r="W16" s="9" t="s">
        <v>145</v>
      </c>
      <c r="X16" s="9" t="s">
        <v>65</v>
      </c>
      <c r="Y16" s="9" t="s">
        <v>151</v>
      </c>
      <c r="Z16" s="9" t="s">
        <v>158</v>
      </c>
      <c r="AA16" s="9" t="s">
        <v>158</v>
      </c>
      <c r="AB16" t="s">
        <v>266</v>
      </c>
    </row>
    <row r="17" spans="2:28" x14ac:dyDescent="0.3">
      <c r="B17">
        <f t="shared" si="1"/>
        <v>13</v>
      </c>
      <c r="D17" t="s">
        <v>227</v>
      </c>
      <c r="E17" t="s">
        <v>221</v>
      </c>
      <c r="F17" t="s">
        <v>240</v>
      </c>
      <c r="G17" t="s">
        <v>219</v>
      </c>
      <c r="I17" t="s">
        <v>258</v>
      </c>
      <c r="J17" s="12">
        <v>0</v>
      </c>
      <c r="K17" s="12">
        <v>0</v>
      </c>
      <c r="L17" s="12">
        <v>0</v>
      </c>
      <c r="M17" s="13">
        <v>0</v>
      </c>
      <c r="N17" s="13">
        <v>0</v>
      </c>
      <c r="O17" s="13">
        <f t="shared" si="0"/>
        <v>0</v>
      </c>
      <c r="P17" s="9" t="s">
        <v>24</v>
      </c>
      <c r="Q17">
        <v>10</v>
      </c>
      <c r="R17" t="s">
        <v>260</v>
      </c>
      <c r="S17" s="9" t="s">
        <v>11</v>
      </c>
      <c r="T17" s="9"/>
      <c r="U17" s="9"/>
      <c r="V17" s="9" t="s">
        <v>76</v>
      </c>
      <c r="W17" s="9" t="s">
        <v>145</v>
      </c>
      <c r="X17" s="9" t="s">
        <v>65</v>
      </c>
      <c r="Y17" s="9" t="s">
        <v>151</v>
      </c>
      <c r="Z17" s="9" t="s">
        <v>158</v>
      </c>
      <c r="AA17" s="9" t="s">
        <v>158</v>
      </c>
      <c r="AB17" t="s">
        <v>266</v>
      </c>
    </row>
    <row r="18" spans="2:28" x14ac:dyDescent="0.3">
      <c r="B18">
        <f t="shared" si="1"/>
        <v>14</v>
      </c>
      <c r="D18" t="s">
        <v>223</v>
      </c>
      <c r="E18" t="s">
        <v>221</v>
      </c>
      <c r="F18" t="s">
        <v>241</v>
      </c>
      <c r="G18" t="s">
        <v>219</v>
      </c>
      <c r="I18" t="s">
        <v>258</v>
      </c>
      <c r="J18" s="12">
        <v>0</v>
      </c>
      <c r="K18" s="12">
        <v>0</v>
      </c>
      <c r="L18" s="12">
        <v>0</v>
      </c>
      <c r="M18" s="13">
        <v>0</v>
      </c>
      <c r="N18" s="13">
        <v>0</v>
      </c>
      <c r="O18" s="13">
        <f t="shared" si="0"/>
        <v>0</v>
      </c>
      <c r="P18" s="9" t="s">
        <v>24</v>
      </c>
      <c r="Q18">
        <v>10</v>
      </c>
      <c r="R18" t="s">
        <v>260</v>
      </c>
      <c r="S18" s="9" t="s">
        <v>11</v>
      </c>
      <c r="T18" s="9"/>
      <c r="U18" s="9"/>
      <c r="V18" s="9" t="s">
        <v>76</v>
      </c>
      <c r="W18" s="9" t="s">
        <v>145</v>
      </c>
      <c r="X18" s="9" t="s">
        <v>65</v>
      </c>
      <c r="Y18" s="9" t="s">
        <v>151</v>
      </c>
      <c r="Z18" s="9" t="s">
        <v>158</v>
      </c>
      <c r="AA18" s="9" t="s">
        <v>158</v>
      </c>
      <c r="AB18" t="s">
        <v>266</v>
      </c>
    </row>
    <row r="19" spans="2:28" x14ac:dyDescent="0.3">
      <c r="B19">
        <f t="shared" si="1"/>
        <v>15</v>
      </c>
      <c r="D19" t="s">
        <v>231</v>
      </c>
      <c r="E19" t="s">
        <v>221</v>
      </c>
      <c r="F19" t="s">
        <v>242</v>
      </c>
      <c r="G19" t="s">
        <v>219</v>
      </c>
      <c r="I19" t="s">
        <v>258</v>
      </c>
      <c r="J19" s="12">
        <v>0</v>
      </c>
      <c r="K19" s="12">
        <v>0</v>
      </c>
      <c r="L19" s="12">
        <v>0</v>
      </c>
      <c r="M19" s="13">
        <v>0</v>
      </c>
      <c r="N19" s="13">
        <v>0</v>
      </c>
      <c r="O19" s="13">
        <f t="shared" si="0"/>
        <v>0</v>
      </c>
      <c r="P19" s="9" t="s">
        <v>24</v>
      </c>
      <c r="Q19">
        <v>10</v>
      </c>
      <c r="R19" t="s">
        <v>260</v>
      </c>
      <c r="S19" s="9" t="s">
        <v>11</v>
      </c>
      <c r="T19" s="9"/>
      <c r="U19" s="9"/>
      <c r="V19" s="9" t="s">
        <v>76</v>
      </c>
      <c r="W19" s="9" t="s">
        <v>145</v>
      </c>
      <c r="X19" s="9" t="s">
        <v>65</v>
      </c>
      <c r="Y19" s="9" t="s">
        <v>151</v>
      </c>
      <c r="Z19" s="9" t="s">
        <v>158</v>
      </c>
      <c r="AA19" s="9" t="s">
        <v>158</v>
      </c>
      <c r="AB19" t="s">
        <v>266</v>
      </c>
    </row>
    <row r="20" spans="2:28" x14ac:dyDescent="0.3">
      <c r="B20">
        <f t="shared" si="1"/>
        <v>16</v>
      </c>
      <c r="D20" t="s">
        <v>235</v>
      </c>
      <c r="E20" t="s">
        <v>221</v>
      </c>
      <c r="F20" t="s">
        <v>243</v>
      </c>
      <c r="G20" t="s">
        <v>219</v>
      </c>
      <c r="I20" t="s">
        <v>258</v>
      </c>
      <c r="J20" s="12">
        <v>0</v>
      </c>
      <c r="K20" s="12">
        <v>0</v>
      </c>
      <c r="L20" s="12">
        <v>0</v>
      </c>
      <c r="M20" s="13">
        <v>0</v>
      </c>
      <c r="N20" s="13">
        <v>0</v>
      </c>
      <c r="O20" s="13">
        <f t="shared" si="0"/>
        <v>0</v>
      </c>
      <c r="P20" s="9" t="s">
        <v>24</v>
      </c>
      <c r="Q20">
        <v>10</v>
      </c>
      <c r="R20" t="s">
        <v>260</v>
      </c>
      <c r="S20" s="9" t="s">
        <v>11</v>
      </c>
      <c r="T20" s="9"/>
      <c r="U20" s="9"/>
      <c r="V20" s="9" t="s">
        <v>76</v>
      </c>
      <c r="W20" s="9" t="s">
        <v>145</v>
      </c>
      <c r="X20" s="9" t="s">
        <v>65</v>
      </c>
      <c r="Y20" s="9" t="s">
        <v>151</v>
      </c>
      <c r="Z20" s="9" t="s">
        <v>158</v>
      </c>
      <c r="AA20" s="9" t="s">
        <v>158</v>
      </c>
      <c r="AB20" t="s">
        <v>266</v>
      </c>
    </row>
    <row r="21" spans="2:28" x14ac:dyDescent="0.3">
      <c r="B21">
        <f t="shared" si="1"/>
        <v>17</v>
      </c>
      <c r="D21" t="s">
        <v>229</v>
      </c>
      <c r="E21" t="s">
        <v>221</v>
      </c>
      <c r="F21" t="s">
        <v>244</v>
      </c>
      <c r="G21" t="s">
        <v>219</v>
      </c>
      <c r="I21" t="s">
        <v>258</v>
      </c>
      <c r="J21" s="12">
        <v>0</v>
      </c>
      <c r="K21" s="12">
        <v>0</v>
      </c>
      <c r="L21" s="12">
        <v>0</v>
      </c>
      <c r="M21" s="13">
        <v>0</v>
      </c>
      <c r="N21" s="13">
        <v>0</v>
      </c>
      <c r="O21" s="13">
        <f t="shared" si="0"/>
        <v>0</v>
      </c>
      <c r="P21" s="9" t="s">
        <v>24</v>
      </c>
      <c r="Q21">
        <v>10</v>
      </c>
      <c r="R21" t="s">
        <v>260</v>
      </c>
      <c r="S21" s="9" t="s">
        <v>11</v>
      </c>
      <c r="T21" s="9"/>
      <c r="U21" s="9"/>
      <c r="V21" s="9" t="s">
        <v>76</v>
      </c>
      <c r="W21" s="9" t="s">
        <v>145</v>
      </c>
      <c r="X21" s="9" t="s">
        <v>65</v>
      </c>
      <c r="Y21" s="9" t="s">
        <v>151</v>
      </c>
      <c r="Z21" s="9" t="s">
        <v>158</v>
      </c>
      <c r="AA21" s="9" t="s">
        <v>158</v>
      </c>
      <c r="AB21" t="s">
        <v>266</v>
      </c>
    </row>
    <row r="22" spans="2:28" x14ac:dyDescent="0.3">
      <c r="B22">
        <f t="shared" si="1"/>
        <v>18</v>
      </c>
      <c r="D22" t="s">
        <v>229</v>
      </c>
      <c r="E22" t="s">
        <v>221</v>
      </c>
      <c r="F22" t="s">
        <v>245</v>
      </c>
      <c r="G22" t="s">
        <v>219</v>
      </c>
      <c r="I22" t="s">
        <v>258</v>
      </c>
      <c r="J22" s="12">
        <v>0</v>
      </c>
      <c r="K22" s="12">
        <v>0</v>
      </c>
      <c r="L22" s="12">
        <v>0</v>
      </c>
      <c r="M22" s="13">
        <v>0</v>
      </c>
      <c r="N22" s="13">
        <v>0</v>
      </c>
      <c r="O22" s="13">
        <f t="shared" si="0"/>
        <v>0</v>
      </c>
      <c r="P22" s="9" t="s">
        <v>24</v>
      </c>
      <c r="Q22">
        <v>10</v>
      </c>
      <c r="R22" t="s">
        <v>260</v>
      </c>
      <c r="S22" s="9" t="s">
        <v>11</v>
      </c>
      <c r="T22" s="9"/>
      <c r="U22" s="9"/>
      <c r="V22" s="9" t="s">
        <v>76</v>
      </c>
      <c r="W22" s="9" t="s">
        <v>145</v>
      </c>
      <c r="X22" s="9" t="s">
        <v>65</v>
      </c>
      <c r="Y22" s="9" t="s">
        <v>151</v>
      </c>
      <c r="Z22" s="9" t="s">
        <v>158</v>
      </c>
      <c r="AA22" s="9" t="s">
        <v>158</v>
      </c>
      <c r="AB22" t="s">
        <v>266</v>
      </c>
    </row>
    <row r="23" spans="2:28" x14ac:dyDescent="0.3">
      <c r="B23">
        <f t="shared" si="1"/>
        <v>19</v>
      </c>
      <c r="D23" t="s">
        <v>229</v>
      </c>
      <c r="E23" t="s">
        <v>221</v>
      </c>
      <c r="F23" t="s">
        <v>246</v>
      </c>
      <c r="G23" t="s">
        <v>219</v>
      </c>
      <c r="I23" t="s">
        <v>258</v>
      </c>
      <c r="J23" s="12">
        <v>0</v>
      </c>
      <c r="K23" s="12">
        <v>0</v>
      </c>
      <c r="L23" s="12">
        <v>0</v>
      </c>
      <c r="M23" s="13">
        <v>0</v>
      </c>
      <c r="N23" s="13">
        <v>0</v>
      </c>
      <c r="O23" s="13">
        <f t="shared" si="0"/>
        <v>0</v>
      </c>
      <c r="P23" s="9" t="s">
        <v>24</v>
      </c>
      <c r="Q23">
        <v>10</v>
      </c>
      <c r="R23" t="s">
        <v>260</v>
      </c>
      <c r="S23" s="9" t="s">
        <v>11</v>
      </c>
      <c r="T23" s="9"/>
      <c r="U23" s="9"/>
      <c r="V23" s="9" t="s">
        <v>76</v>
      </c>
      <c r="W23" s="9" t="s">
        <v>145</v>
      </c>
      <c r="X23" s="9" t="s">
        <v>65</v>
      </c>
      <c r="Y23" s="9" t="s">
        <v>151</v>
      </c>
      <c r="Z23" s="9" t="s">
        <v>158</v>
      </c>
      <c r="AA23" s="9" t="s">
        <v>158</v>
      </c>
      <c r="AB23" t="s">
        <v>266</v>
      </c>
    </row>
    <row r="24" spans="2:28" x14ac:dyDescent="0.3">
      <c r="B24">
        <f t="shared" si="1"/>
        <v>20</v>
      </c>
      <c r="D24" t="s">
        <v>231</v>
      </c>
      <c r="E24" t="s">
        <v>221</v>
      </c>
      <c r="F24" t="s">
        <v>247</v>
      </c>
      <c r="G24" t="s">
        <v>219</v>
      </c>
      <c r="I24" t="s">
        <v>258</v>
      </c>
      <c r="J24" s="12">
        <v>0</v>
      </c>
      <c r="K24" s="12">
        <v>0</v>
      </c>
      <c r="L24" s="12">
        <v>0</v>
      </c>
      <c r="M24" s="13">
        <v>0</v>
      </c>
      <c r="N24" s="13">
        <v>0</v>
      </c>
      <c r="O24" s="13">
        <f t="shared" si="0"/>
        <v>0</v>
      </c>
      <c r="P24" s="9" t="s">
        <v>24</v>
      </c>
      <c r="Q24">
        <v>10</v>
      </c>
      <c r="R24" t="s">
        <v>260</v>
      </c>
      <c r="S24" s="9" t="s">
        <v>11</v>
      </c>
      <c r="T24" s="9"/>
      <c r="U24" s="9"/>
      <c r="V24" s="9" t="s">
        <v>76</v>
      </c>
      <c r="W24" s="9" t="s">
        <v>145</v>
      </c>
      <c r="X24" s="9" t="s">
        <v>65</v>
      </c>
      <c r="Y24" s="9" t="s">
        <v>151</v>
      </c>
      <c r="Z24" s="9" t="s">
        <v>158</v>
      </c>
      <c r="AA24" s="9" t="s">
        <v>158</v>
      </c>
      <c r="AB24" t="s">
        <v>266</v>
      </c>
    </row>
    <row r="25" spans="2:28" x14ac:dyDescent="0.3">
      <c r="B25">
        <f t="shared" si="1"/>
        <v>21</v>
      </c>
      <c r="D25" t="s">
        <v>231</v>
      </c>
      <c r="E25" t="s">
        <v>221</v>
      </c>
      <c r="F25" t="s">
        <v>248</v>
      </c>
      <c r="G25" t="s">
        <v>219</v>
      </c>
      <c r="I25" t="s">
        <v>258</v>
      </c>
      <c r="J25" s="12">
        <v>0</v>
      </c>
      <c r="K25" s="12">
        <v>0</v>
      </c>
      <c r="L25" s="12">
        <v>0</v>
      </c>
      <c r="M25" s="13">
        <v>0</v>
      </c>
      <c r="N25" s="13">
        <v>0</v>
      </c>
      <c r="O25" s="13">
        <f t="shared" si="0"/>
        <v>0</v>
      </c>
      <c r="P25" s="9" t="s">
        <v>24</v>
      </c>
      <c r="Q25">
        <v>10</v>
      </c>
      <c r="R25" t="s">
        <v>260</v>
      </c>
      <c r="S25" s="9" t="s">
        <v>11</v>
      </c>
      <c r="T25" s="9"/>
      <c r="U25" s="9"/>
      <c r="V25" s="9" t="s">
        <v>76</v>
      </c>
      <c r="W25" s="9" t="s">
        <v>145</v>
      </c>
      <c r="X25" s="9" t="s">
        <v>65</v>
      </c>
      <c r="Y25" s="9" t="s">
        <v>151</v>
      </c>
      <c r="Z25" s="9" t="s">
        <v>158</v>
      </c>
      <c r="AA25" s="9" t="s">
        <v>158</v>
      </c>
      <c r="AB25" t="s">
        <v>266</v>
      </c>
    </row>
    <row r="26" spans="2:28" x14ac:dyDescent="0.3">
      <c r="B26">
        <f t="shared" si="1"/>
        <v>22</v>
      </c>
      <c r="D26" t="s">
        <v>231</v>
      </c>
      <c r="E26" t="s">
        <v>221</v>
      </c>
      <c r="F26" t="s">
        <v>249</v>
      </c>
      <c r="G26" t="s">
        <v>219</v>
      </c>
      <c r="I26" t="s">
        <v>259</v>
      </c>
      <c r="J26" s="12">
        <v>0</v>
      </c>
      <c r="K26" s="12">
        <v>0</v>
      </c>
      <c r="L26" s="12">
        <v>0</v>
      </c>
      <c r="M26" s="13">
        <v>0</v>
      </c>
      <c r="N26" s="13">
        <v>0</v>
      </c>
      <c r="O26" s="13">
        <f t="shared" si="0"/>
        <v>0</v>
      </c>
      <c r="P26" s="9" t="s">
        <v>24</v>
      </c>
      <c r="Q26">
        <v>5</v>
      </c>
      <c r="R26" t="s">
        <v>260</v>
      </c>
      <c r="S26" s="9" t="s">
        <v>124</v>
      </c>
      <c r="T26" s="9"/>
      <c r="U26" s="9"/>
      <c r="V26" s="9" t="s">
        <v>76</v>
      </c>
      <c r="W26" s="9" t="s">
        <v>145</v>
      </c>
      <c r="X26" s="9" t="s">
        <v>65</v>
      </c>
      <c r="Y26" s="9" t="s">
        <v>151</v>
      </c>
      <c r="Z26" s="9" t="s">
        <v>158</v>
      </c>
      <c r="AA26" s="9" t="s">
        <v>158</v>
      </c>
      <c r="AB26" t="s">
        <v>267</v>
      </c>
    </row>
    <row r="27" spans="2:28" x14ac:dyDescent="0.3">
      <c r="B27">
        <f t="shared" si="1"/>
        <v>23</v>
      </c>
      <c r="D27" t="s">
        <v>223</v>
      </c>
      <c r="E27" t="s">
        <v>221</v>
      </c>
      <c r="F27" t="s">
        <v>250</v>
      </c>
      <c r="G27" t="s">
        <v>219</v>
      </c>
      <c r="I27" t="s">
        <v>259</v>
      </c>
      <c r="J27" s="12">
        <v>0</v>
      </c>
      <c r="K27" s="12">
        <v>0</v>
      </c>
      <c r="L27" s="12">
        <v>0</v>
      </c>
      <c r="M27" s="13">
        <v>0</v>
      </c>
      <c r="N27" s="13">
        <v>0</v>
      </c>
      <c r="O27" s="13">
        <f t="shared" si="0"/>
        <v>0</v>
      </c>
      <c r="P27" s="9" t="s">
        <v>24</v>
      </c>
      <c r="Q27">
        <v>10</v>
      </c>
      <c r="R27" t="s">
        <v>260</v>
      </c>
      <c r="S27" s="9" t="s">
        <v>11</v>
      </c>
      <c r="T27" s="9"/>
      <c r="U27" s="9"/>
      <c r="V27" s="9" t="s">
        <v>76</v>
      </c>
      <c r="W27" s="9" t="s">
        <v>145</v>
      </c>
      <c r="X27" s="9" t="s">
        <v>65</v>
      </c>
      <c r="Y27" s="9" t="s">
        <v>151</v>
      </c>
      <c r="Z27" s="9" t="s">
        <v>158</v>
      </c>
      <c r="AA27" s="9" t="s">
        <v>158</v>
      </c>
      <c r="AB27" t="s">
        <v>268</v>
      </c>
    </row>
    <row r="28" spans="2:28" x14ac:dyDescent="0.3">
      <c r="B28">
        <f t="shared" si="1"/>
        <v>24</v>
      </c>
      <c r="D28" t="s">
        <v>251</v>
      </c>
      <c r="E28" t="s">
        <v>221</v>
      </c>
      <c r="F28" t="s">
        <v>252</v>
      </c>
      <c r="G28" t="s">
        <v>219</v>
      </c>
      <c r="I28" t="s">
        <v>259</v>
      </c>
      <c r="J28" s="12">
        <v>0</v>
      </c>
      <c r="K28" s="12">
        <v>0</v>
      </c>
      <c r="L28" s="12">
        <v>0</v>
      </c>
      <c r="M28" s="13">
        <v>0</v>
      </c>
      <c r="N28" s="13">
        <v>0</v>
      </c>
      <c r="O28" s="13">
        <f t="shared" si="0"/>
        <v>0</v>
      </c>
      <c r="P28" s="9" t="s">
        <v>24</v>
      </c>
      <c r="Q28">
        <v>10</v>
      </c>
      <c r="R28" t="s">
        <v>260</v>
      </c>
      <c r="S28" s="9" t="s">
        <v>11</v>
      </c>
      <c r="T28" s="9"/>
      <c r="U28" s="9"/>
      <c r="V28" s="9" t="s">
        <v>76</v>
      </c>
      <c r="W28" s="9" t="s">
        <v>145</v>
      </c>
      <c r="X28" s="9" t="s">
        <v>65</v>
      </c>
      <c r="Y28" s="9" t="s">
        <v>151</v>
      </c>
      <c r="Z28" s="9" t="s">
        <v>158</v>
      </c>
      <c r="AA28" s="9" t="s">
        <v>158</v>
      </c>
      <c r="AB28" t="s">
        <v>268</v>
      </c>
    </row>
    <row r="29" spans="2:28" x14ac:dyDescent="0.3">
      <c r="B29">
        <f t="shared" si="1"/>
        <v>25</v>
      </c>
      <c r="D29" t="s">
        <v>227</v>
      </c>
      <c r="E29" t="s">
        <v>221</v>
      </c>
      <c r="F29" t="s">
        <v>253</v>
      </c>
      <c r="G29" t="s">
        <v>219</v>
      </c>
      <c r="I29" t="s">
        <v>259</v>
      </c>
      <c r="J29" s="12">
        <v>1</v>
      </c>
      <c r="K29" s="12">
        <v>0</v>
      </c>
      <c r="L29" s="12">
        <v>0</v>
      </c>
      <c r="M29" s="13">
        <v>0</v>
      </c>
      <c r="N29" s="13">
        <v>0</v>
      </c>
      <c r="O29" s="13">
        <f t="shared" si="0"/>
        <v>0</v>
      </c>
      <c r="P29" s="9" t="s">
        <v>24</v>
      </c>
      <c r="Q29">
        <v>6</v>
      </c>
      <c r="R29" t="s">
        <v>260</v>
      </c>
      <c r="S29" s="9" t="s">
        <v>11</v>
      </c>
      <c r="T29" s="9"/>
      <c r="U29" s="9"/>
      <c r="V29" s="9" t="s">
        <v>76</v>
      </c>
      <c r="W29" s="9" t="s">
        <v>145</v>
      </c>
      <c r="X29" s="9" t="s">
        <v>65</v>
      </c>
      <c r="Y29" s="9" t="s">
        <v>151</v>
      </c>
      <c r="Z29" s="9" t="s">
        <v>158</v>
      </c>
      <c r="AA29" s="9" t="s">
        <v>158</v>
      </c>
      <c r="AB29" t="s">
        <v>268</v>
      </c>
    </row>
    <row r="30" spans="2:28" x14ac:dyDescent="0.3">
      <c r="B30">
        <f t="shared" si="1"/>
        <v>26</v>
      </c>
      <c r="D30" t="s">
        <v>223</v>
      </c>
      <c r="E30" t="s">
        <v>221</v>
      </c>
      <c r="F30" t="s">
        <v>282</v>
      </c>
      <c r="G30" t="s">
        <v>281</v>
      </c>
      <c r="I30" s="11" t="s">
        <v>283</v>
      </c>
      <c r="J30" s="12">
        <v>0</v>
      </c>
      <c r="K30" s="12">
        <v>0</v>
      </c>
      <c r="L30" s="12">
        <v>0</v>
      </c>
      <c r="M30" s="13">
        <v>0</v>
      </c>
      <c r="N30" s="13">
        <v>0</v>
      </c>
      <c r="O30" s="13">
        <f t="shared" si="0"/>
        <v>0</v>
      </c>
      <c r="P30" s="9" t="s">
        <v>24</v>
      </c>
      <c r="Q30">
        <v>8</v>
      </c>
      <c r="R30" t="s">
        <v>260</v>
      </c>
      <c r="S30" s="9" t="s">
        <v>124</v>
      </c>
      <c r="T30" s="9"/>
      <c r="U30" s="9"/>
      <c r="V30" s="9" t="s">
        <v>197</v>
      </c>
      <c r="W30" s="9" t="s">
        <v>149</v>
      </c>
      <c r="X30" s="9" t="s">
        <v>122</v>
      </c>
      <c r="Y30" s="9" t="s">
        <v>150</v>
      </c>
      <c r="Z30" s="9" t="s">
        <v>161</v>
      </c>
      <c r="AA30" s="9" t="s">
        <v>161</v>
      </c>
      <c r="AB30" t="s">
        <v>284</v>
      </c>
    </row>
    <row r="31" spans="2:28" x14ac:dyDescent="0.3">
      <c r="B31">
        <f t="shared" si="1"/>
        <v>27</v>
      </c>
      <c r="D31" t="s">
        <v>216</v>
      </c>
      <c r="E31" t="s">
        <v>221</v>
      </c>
      <c r="F31" t="s">
        <v>285</v>
      </c>
      <c r="G31" t="s">
        <v>281</v>
      </c>
      <c r="I31" s="11" t="s">
        <v>283</v>
      </c>
      <c r="J31" s="12">
        <v>0</v>
      </c>
      <c r="K31" s="12">
        <v>0</v>
      </c>
      <c r="L31" s="12">
        <v>0</v>
      </c>
      <c r="M31" s="13">
        <v>0</v>
      </c>
      <c r="N31" s="13">
        <v>0</v>
      </c>
      <c r="O31" s="13">
        <f t="shared" si="0"/>
        <v>0</v>
      </c>
      <c r="P31" s="9" t="s">
        <v>24</v>
      </c>
      <c r="Q31">
        <v>10</v>
      </c>
      <c r="R31" t="s">
        <v>260</v>
      </c>
      <c r="S31" s="9" t="s">
        <v>124</v>
      </c>
      <c r="T31" s="9"/>
      <c r="U31" s="9"/>
      <c r="V31" s="9" t="s">
        <v>197</v>
      </c>
      <c r="W31" s="9" t="s">
        <v>149</v>
      </c>
      <c r="X31" s="9" t="s">
        <v>122</v>
      </c>
      <c r="Y31" s="9" t="s">
        <v>150</v>
      </c>
      <c r="Z31" s="9" t="s">
        <v>161</v>
      </c>
      <c r="AA31" s="9" t="s">
        <v>161</v>
      </c>
      <c r="AB31" t="s">
        <v>284</v>
      </c>
    </row>
    <row r="32" spans="2:28" x14ac:dyDescent="0.3">
      <c r="B32">
        <f t="shared" si="1"/>
        <v>28</v>
      </c>
      <c r="D32" t="s">
        <v>227</v>
      </c>
      <c r="E32" t="s">
        <v>221</v>
      </c>
      <c r="F32" t="s">
        <v>286</v>
      </c>
      <c r="G32" t="s">
        <v>281</v>
      </c>
      <c r="I32" s="11" t="s">
        <v>283</v>
      </c>
      <c r="J32" s="12">
        <v>0</v>
      </c>
      <c r="K32" s="12">
        <v>0</v>
      </c>
      <c r="L32" s="12">
        <v>0</v>
      </c>
      <c r="M32" s="13">
        <v>0</v>
      </c>
      <c r="N32" s="13">
        <v>0</v>
      </c>
      <c r="O32" s="13">
        <f t="shared" si="0"/>
        <v>0</v>
      </c>
      <c r="P32" s="9" t="s">
        <v>24</v>
      </c>
      <c r="Q32">
        <v>7</v>
      </c>
      <c r="R32" t="s">
        <v>260</v>
      </c>
      <c r="S32" s="9" t="s">
        <v>124</v>
      </c>
      <c r="T32" s="9"/>
      <c r="U32" s="9"/>
      <c r="V32" s="9" t="s">
        <v>197</v>
      </c>
      <c r="W32" s="9" t="s">
        <v>149</v>
      </c>
      <c r="X32" s="9" t="s">
        <v>122</v>
      </c>
      <c r="Y32" s="9" t="s">
        <v>150</v>
      </c>
      <c r="Z32" s="9" t="s">
        <v>161</v>
      </c>
      <c r="AA32" s="9" t="s">
        <v>161</v>
      </c>
      <c r="AB32" t="s">
        <v>284</v>
      </c>
    </row>
    <row r="33" spans="2:28" x14ac:dyDescent="0.3">
      <c r="B33">
        <f t="shared" si="1"/>
        <v>29</v>
      </c>
      <c r="D33" t="s">
        <v>287</v>
      </c>
      <c r="E33" t="s">
        <v>221</v>
      </c>
      <c r="F33" t="s">
        <v>288</v>
      </c>
      <c r="G33" t="s">
        <v>281</v>
      </c>
      <c r="I33" s="11" t="s">
        <v>283</v>
      </c>
      <c r="J33" s="12">
        <v>0</v>
      </c>
      <c r="K33" s="12">
        <v>0</v>
      </c>
      <c r="L33" s="12">
        <v>0</v>
      </c>
      <c r="M33" s="13">
        <v>0</v>
      </c>
      <c r="N33" s="13">
        <v>0</v>
      </c>
      <c r="O33" s="13">
        <f t="shared" si="0"/>
        <v>0</v>
      </c>
      <c r="P33" s="9" t="s">
        <v>24</v>
      </c>
      <c r="Q33">
        <v>10</v>
      </c>
      <c r="R33" t="s">
        <v>260</v>
      </c>
      <c r="S33" s="9" t="s">
        <v>124</v>
      </c>
      <c r="T33" s="9"/>
      <c r="U33" s="9"/>
      <c r="V33" s="9" t="s">
        <v>197</v>
      </c>
      <c r="W33" s="9" t="s">
        <v>149</v>
      </c>
      <c r="X33" s="9" t="s">
        <v>122</v>
      </c>
      <c r="Y33" s="9" t="s">
        <v>150</v>
      </c>
      <c r="Z33" s="9" t="s">
        <v>161</v>
      </c>
      <c r="AA33" s="9" t="s">
        <v>161</v>
      </c>
      <c r="AB33" t="s">
        <v>284</v>
      </c>
    </row>
    <row r="34" spans="2:28" x14ac:dyDescent="0.3">
      <c r="B34">
        <f t="shared" si="1"/>
        <v>30</v>
      </c>
      <c r="D34" t="s">
        <v>287</v>
      </c>
      <c r="E34" t="s">
        <v>221</v>
      </c>
      <c r="F34" t="s">
        <v>289</v>
      </c>
      <c r="G34" t="s">
        <v>281</v>
      </c>
      <c r="I34" s="11" t="s">
        <v>290</v>
      </c>
      <c r="J34" s="12">
        <v>0</v>
      </c>
      <c r="K34" s="12">
        <v>0</v>
      </c>
      <c r="L34" s="12">
        <v>0</v>
      </c>
      <c r="M34" s="13">
        <v>0</v>
      </c>
      <c r="N34" s="13">
        <v>0</v>
      </c>
      <c r="O34" s="13">
        <f t="shared" si="0"/>
        <v>0</v>
      </c>
      <c r="P34" s="9" t="s">
        <v>24</v>
      </c>
      <c r="Q34">
        <v>10</v>
      </c>
      <c r="R34" t="s">
        <v>260</v>
      </c>
      <c r="S34" s="9" t="s">
        <v>124</v>
      </c>
      <c r="T34" s="9"/>
      <c r="U34" s="9"/>
      <c r="V34" s="9" t="s">
        <v>197</v>
      </c>
      <c r="W34" s="9" t="s">
        <v>149</v>
      </c>
      <c r="X34" s="9" t="s">
        <v>122</v>
      </c>
      <c r="Y34" s="9" t="s">
        <v>150</v>
      </c>
      <c r="Z34" s="9" t="s">
        <v>161</v>
      </c>
      <c r="AA34" s="9" t="s">
        <v>161</v>
      </c>
      <c r="AB34" t="s">
        <v>284</v>
      </c>
    </row>
    <row r="35" spans="2:28" x14ac:dyDescent="0.3">
      <c r="B35">
        <f t="shared" si="1"/>
        <v>31</v>
      </c>
      <c r="D35" t="s">
        <v>251</v>
      </c>
      <c r="E35" t="s">
        <v>221</v>
      </c>
      <c r="F35" t="s">
        <v>291</v>
      </c>
      <c r="G35" t="s">
        <v>281</v>
      </c>
      <c r="I35" s="11" t="s">
        <v>290</v>
      </c>
      <c r="J35" s="12">
        <v>0</v>
      </c>
      <c r="K35" s="12">
        <v>0</v>
      </c>
      <c r="L35" s="12">
        <v>0</v>
      </c>
      <c r="M35" s="13">
        <v>0</v>
      </c>
      <c r="N35" s="13">
        <v>0</v>
      </c>
      <c r="O35" s="13">
        <f t="shared" si="0"/>
        <v>0</v>
      </c>
      <c r="P35" s="9" t="s">
        <v>24</v>
      </c>
      <c r="Q35">
        <v>10</v>
      </c>
      <c r="R35" t="s">
        <v>260</v>
      </c>
      <c r="S35" s="9" t="s">
        <v>124</v>
      </c>
      <c r="T35" s="9"/>
      <c r="U35" s="9"/>
      <c r="V35" s="9" t="s">
        <v>197</v>
      </c>
      <c r="W35" s="9" t="s">
        <v>149</v>
      </c>
      <c r="X35" s="9" t="s">
        <v>122</v>
      </c>
      <c r="Y35" s="9" t="s">
        <v>150</v>
      </c>
      <c r="Z35" s="9" t="s">
        <v>161</v>
      </c>
      <c r="AA35" s="9" t="s">
        <v>161</v>
      </c>
      <c r="AB35" t="s">
        <v>284</v>
      </c>
    </row>
    <row r="36" spans="2:28" x14ac:dyDescent="0.3">
      <c r="B36">
        <f t="shared" si="1"/>
        <v>32</v>
      </c>
      <c r="D36" t="s">
        <v>233</v>
      </c>
      <c r="E36" t="s">
        <v>221</v>
      </c>
      <c r="F36" t="s">
        <v>292</v>
      </c>
      <c r="G36" t="s">
        <v>281</v>
      </c>
      <c r="I36" s="11" t="s">
        <v>290</v>
      </c>
      <c r="J36" s="12">
        <v>0</v>
      </c>
      <c r="K36" s="12">
        <v>0</v>
      </c>
      <c r="L36" s="12">
        <v>0</v>
      </c>
      <c r="M36" s="13">
        <v>0</v>
      </c>
      <c r="N36" s="13">
        <v>0</v>
      </c>
      <c r="O36" s="13">
        <f t="shared" si="0"/>
        <v>0</v>
      </c>
      <c r="P36" s="9" t="s">
        <v>24</v>
      </c>
      <c r="Q36">
        <v>10</v>
      </c>
      <c r="R36" t="s">
        <v>260</v>
      </c>
      <c r="S36" s="9" t="s">
        <v>124</v>
      </c>
      <c r="T36" s="9"/>
      <c r="U36" s="9"/>
      <c r="V36" s="9" t="s">
        <v>197</v>
      </c>
      <c r="W36" s="9" t="s">
        <v>149</v>
      </c>
      <c r="X36" s="9" t="s">
        <v>122</v>
      </c>
      <c r="Y36" s="9" t="s">
        <v>150</v>
      </c>
      <c r="Z36" s="9" t="s">
        <v>161</v>
      </c>
      <c r="AA36" s="9" t="s">
        <v>161</v>
      </c>
      <c r="AB36" t="s">
        <v>284</v>
      </c>
    </row>
    <row r="37" spans="2:28" x14ac:dyDescent="0.3">
      <c r="B37">
        <f t="shared" si="1"/>
        <v>33</v>
      </c>
      <c r="D37" t="s">
        <v>251</v>
      </c>
      <c r="E37" t="s">
        <v>221</v>
      </c>
      <c r="F37" t="s">
        <v>293</v>
      </c>
      <c r="G37" t="s">
        <v>281</v>
      </c>
      <c r="I37" s="11" t="s">
        <v>290</v>
      </c>
      <c r="J37" s="12">
        <v>0</v>
      </c>
      <c r="K37" s="12">
        <v>0</v>
      </c>
      <c r="L37" s="12">
        <v>0</v>
      </c>
      <c r="M37" s="13">
        <v>0</v>
      </c>
      <c r="N37" s="13">
        <v>0</v>
      </c>
      <c r="O37" s="13">
        <f t="shared" si="0"/>
        <v>0</v>
      </c>
      <c r="P37" s="9" t="s">
        <v>24</v>
      </c>
      <c r="Q37">
        <v>10</v>
      </c>
      <c r="R37" t="s">
        <v>260</v>
      </c>
      <c r="S37" s="9" t="s">
        <v>124</v>
      </c>
      <c r="T37" s="9"/>
      <c r="U37" s="9"/>
      <c r="V37" s="9" t="s">
        <v>197</v>
      </c>
      <c r="W37" s="9" t="s">
        <v>149</v>
      </c>
      <c r="X37" s="9" t="s">
        <v>122</v>
      </c>
      <c r="Y37" s="9" t="s">
        <v>150</v>
      </c>
      <c r="Z37" s="9" t="s">
        <v>161</v>
      </c>
      <c r="AA37" s="9" t="s">
        <v>161</v>
      </c>
      <c r="AB37" t="s">
        <v>284</v>
      </c>
    </row>
    <row r="38" spans="2:28" x14ac:dyDescent="0.3">
      <c r="B38">
        <f t="shared" si="1"/>
        <v>34</v>
      </c>
      <c r="D38" t="s">
        <v>216</v>
      </c>
      <c r="E38" t="s">
        <v>221</v>
      </c>
      <c r="F38" t="s">
        <v>294</v>
      </c>
      <c r="G38" t="s">
        <v>281</v>
      </c>
      <c r="I38" s="11" t="s">
        <v>295</v>
      </c>
      <c r="J38" s="12">
        <v>0</v>
      </c>
      <c r="K38" s="12">
        <v>0</v>
      </c>
      <c r="L38" s="12">
        <v>0</v>
      </c>
      <c r="M38" s="13">
        <v>0</v>
      </c>
      <c r="N38" s="13">
        <v>0</v>
      </c>
      <c r="O38" s="13">
        <f t="shared" si="0"/>
        <v>0</v>
      </c>
      <c r="P38" s="9" t="s">
        <v>24</v>
      </c>
      <c r="Q38" s="13">
        <v>2</v>
      </c>
      <c r="R38" t="s">
        <v>260</v>
      </c>
      <c r="S38" s="9" t="s">
        <v>124</v>
      </c>
      <c r="T38" s="9"/>
      <c r="U38" s="9"/>
      <c r="V38" s="9" t="s">
        <v>197</v>
      </c>
      <c r="W38" s="9" t="s">
        <v>149</v>
      </c>
      <c r="X38" s="9" t="s">
        <v>122</v>
      </c>
      <c r="Y38" s="9" t="s">
        <v>150</v>
      </c>
      <c r="Z38" s="9" t="s">
        <v>161</v>
      </c>
      <c r="AA38" s="9" t="s">
        <v>161</v>
      </c>
      <c r="AB38" t="s">
        <v>298</v>
      </c>
    </row>
    <row r="39" spans="2:28" x14ac:dyDescent="0.3">
      <c r="B39">
        <f t="shared" si="1"/>
        <v>35</v>
      </c>
      <c r="D39" t="s">
        <v>223</v>
      </c>
      <c r="E39" t="s">
        <v>221</v>
      </c>
      <c r="F39" t="s">
        <v>297</v>
      </c>
      <c r="G39" t="s">
        <v>281</v>
      </c>
      <c r="I39" s="11" t="s">
        <v>295</v>
      </c>
      <c r="J39" s="12">
        <v>0</v>
      </c>
      <c r="K39" s="12">
        <v>0</v>
      </c>
      <c r="L39" s="12">
        <v>0</v>
      </c>
      <c r="M39" s="13">
        <v>0</v>
      </c>
      <c r="N39" s="13">
        <v>0</v>
      </c>
      <c r="O39" s="13">
        <f t="shared" si="0"/>
        <v>0</v>
      </c>
      <c r="P39" s="9" t="s">
        <v>24</v>
      </c>
      <c r="Q39" s="13">
        <v>8</v>
      </c>
      <c r="R39" t="s">
        <v>260</v>
      </c>
      <c r="S39" s="9" t="s">
        <v>124</v>
      </c>
      <c r="T39" s="9"/>
      <c r="U39" s="9"/>
      <c r="V39" s="9" t="s">
        <v>197</v>
      </c>
      <c r="W39" s="9" t="s">
        <v>149</v>
      </c>
      <c r="X39" s="9" t="s">
        <v>122</v>
      </c>
      <c r="Y39" s="9" t="s">
        <v>150</v>
      </c>
      <c r="Z39" s="9" t="s">
        <v>161</v>
      </c>
      <c r="AA39" s="9" t="s">
        <v>161</v>
      </c>
      <c r="AB39" t="s">
        <v>298</v>
      </c>
    </row>
    <row r="40" spans="2:28" x14ac:dyDescent="0.3">
      <c r="B40">
        <f t="shared" si="1"/>
        <v>36</v>
      </c>
      <c r="D40" t="s">
        <v>223</v>
      </c>
      <c r="E40" t="s">
        <v>221</v>
      </c>
      <c r="F40" t="s">
        <v>299</v>
      </c>
      <c r="G40" t="s">
        <v>281</v>
      </c>
      <c r="I40" s="11" t="s">
        <v>295</v>
      </c>
      <c r="J40" s="12">
        <v>0</v>
      </c>
      <c r="K40" s="12">
        <v>0</v>
      </c>
      <c r="L40" s="12">
        <v>0</v>
      </c>
      <c r="M40" s="13">
        <v>0</v>
      </c>
      <c r="N40" s="13">
        <v>0</v>
      </c>
      <c r="O40" s="13">
        <f t="shared" si="0"/>
        <v>0</v>
      </c>
      <c r="P40" s="9" t="s">
        <v>24</v>
      </c>
      <c r="Q40" s="13">
        <v>10</v>
      </c>
      <c r="R40" t="s">
        <v>260</v>
      </c>
      <c r="S40" s="9" t="s">
        <v>124</v>
      </c>
      <c r="T40" s="9"/>
      <c r="U40" s="9"/>
      <c r="V40" s="9" t="s">
        <v>197</v>
      </c>
      <c r="W40" s="9" t="s">
        <v>149</v>
      </c>
      <c r="X40" s="9" t="s">
        <v>122</v>
      </c>
      <c r="Y40" s="9" t="s">
        <v>150</v>
      </c>
      <c r="Z40" s="9" t="s">
        <v>161</v>
      </c>
      <c r="AA40" s="9" t="s">
        <v>161</v>
      </c>
      <c r="AB40" t="s">
        <v>298</v>
      </c>
    </row>
    <row r="41" spans="2:28" x14ac:dyDescent="0.3">
      <c r="B41">
        <f t="shared" si="1"/>
        <v>37</v>
      </c>
      <c r="D41" t="s">
        <v>223</v>
      </c>
      <c r="E41" t="s">
        <v>221</v>
      </c>
      <c r="F41" t="s">
        <v>300</v>
      </c>
      <c r="G41" t="s">
        <v>281</v>
      </c>
      <c r="I41" s="11" t="s">
        <v>295</v>
      </c>
      <c r="J41" s="12">
        <v>0</v>
      </c>
      <c r="K41" s="12">
        <v>0</v>
      </c>
      <c r="L41" s="12">
        <v>0</v>
      </c>
      <c r="M41" s="13">
        <v>0</v>
      </c>
      <c r="N41" s="13">
        <v>0</v>
      </c>
      <c r="O41" s="13">
        <f t="shared" si="0"/>
        <v>0</v>
      </c>
      <c r="P41" s="9" t="s">
        <v>24</v>
      </c>
      <c r="Q41" s="13">
        <v>10</v>
      </c>
      <c r="R41" t="s">
        <v>260</v>
      </c>
      <c r="S41" s="9" t="s">
        <v>124</v>
      </c>
      <c r="T41" s="9"/>
      <c r="U41" s="9"/>
      <c r="V41" s="9" t="s">
        <v>197</v>
      </c>
      <c r="W41" s="9" t="s">
        <v>149</v>
      </c>
      <c r="X41" s="9" t="s">
        <v>122</v>
      </c>
      <c r="Y41" s="9" t="s">
        <v>150</v>
      </c>
      <c r="Z41" s="9" t="s">
        <v>161</v>
      </c>
      <c r="AA41" s="9" t="s">
        <v>161</v>
      </c>
      <c r="AB41" t="s">
        <v>298</v>
      </c>
    </row>
    <row r="42" spans="2:28" x14ac:dyDescent="0.3">
      <c r="B42">
        <f t="shared" si="1"/>
        <v>38</v>
      </c>
      <c r="D42" t="s">
        <v>233</v>
      </c>
      <c r="E42" t="s">
        <v>221</v>
      </c>
      <c r="F42" t="s">
        <v>301</v>
      </c>
      <c r="G42" t="s">
        <v>281</v>
      </c>
      <c r="I42" s="11" t="s">
        <v>295</v>
      </c>
      <c r="J42" s="12">
        <v>0</v>
      </c>
      <c r="K42" s="12">
        <v>0</v>
      </c>
      <c r="L42" s="12">
        <v>0</v>
      </c>
      <c r="M42" s="13">
        <v>0</v>
      </c>
      <c r="N42" s="13">
        <v>0</v>
      </c>
      <c r="O42" s="13">
        <f t="shared" si="0"/>
        <v>0</v>
      </c>
      <c r="P42" s="9" t="s">
        <v>24</v>
      </c>
      <c r="Q42" s="13">
        <v>10</v>
      </c>
      <c r="R42" t="s">
        <v>260</v>
      </c>
      <c r="S42" s="9" t="s">
        <v>124</v>
      </c>
      <c r="T42" s="9"/>
      <c r="U42" s="9"/>
      <c r="V42" s="9" t="s">
        <v>197</v>
      </c>
      <c r="W42" s="9" t="s">
        <v>149</v>
      </c>
      <c r="X42" s="9" t="s">
        <v>122</v>
      </c>
      <c r="Y42" s="9" t="s">
        <v>150</v>
      </c>
      <c r="Z42" s="9" t="s">
        <v>161</v>
      </c>
      <c r="AA42" s="9" t="s">
        <v>161</v>
      </c>
      <c r="AB42" t="s">
        <v>298</v>
      </c>
    </row>
    <row r="43" spans="2:28" x14ac:dyDescent="0.3">
      <c r="B43">
        <f t="shared" si="1"/>
        <v>39</v>
      </c>
      <c r="D43" t="s">
        <v>287</v>
      </c>
      <c r="E43" t="s">
        <v>221</v>
      </c>
      <c r="F43" t="s">
        <v>302</v>
      </c>
      <c r="G43" t="s">
        <v>281</v>
      </c>
      <c r="I43" s="11" t="s">
        <v>295</v>
      </c>
      <c r="J43" s="12">
        <v>0</v>
      </c>
      <c r="K43" s="12">
        <v>0</v>
      </c>
      <c r="L43" s="12">
        <v>0</v>
      </c>
      <c r="M43" s="13">
        <v>0</v>
      </c>
      <c r="N43" s="13">
        <v>0</v>
      </c>
      <c r="O43" s="13">
        <f t="shared" si="0"/>
        <v>0</v>
      </c>
      <c r="P43" s="9" t="s">
        <v>24</v>
      </c>
      <c r="Q43" s="13">
        <v>5</v>
      </c>
      <c r="R43" t="s">
        <v>260</v>
      </c>
      <c r="S43" s="9" t="s">
        <v>124</v>
      </c>
      <c r="T43" s="9"/>
      <c r="U43" s="9"/>
      <c r="V43" s="9" t="s">
        <v>77</v>
      </c>
      <c r="W43" s="9" t="s">
        <v>145</v>
      </c>
      <c r="X43" s="9" t="s">
        <v>83</v>
      </c>
      <c r="Y43" s="9" t="s">
        <v>150</v>
      </c>
      <c r="Z43" s="9" t="s">
        <v>158</v>
      </c>
      <c r="AA43" s="9" t="s">
        <v>158</v>
      </c>
      <c r="AB43" t="s">
        <v>296</v>
      </c>
    </row>
    <row r="44" spans="2:28" x14ac:dyDescent="0.3">
      <c r="B44">
        <f t="shared" si="1"/>
        <v>40</v>
      </c>
      <c r="D44" t="s">
        <v>227</v>
      </c>
      <c r="E44" t="s">
        <v>221</v>
      </c>
      <c r="F44" t="s">
        <v>303</v>
      </c>
      <c r="G44" t="s">
        <v>281</v>
      </c>
      <c r="I44" s="11" t="s">
        <v>304</v>
      </c>
      <c r="J44" s="12">
        <v>0</v>
      </c>
      <c r="K44" s="12">
        <v>0</v>
      </c>
      <c r="L44" s="12">
        <v>0</v>
      </c>
      <c r="M44" s="13">
        <v>0</v>
      </c>
      <c r="N44" s="13">
        <v>0</v>
      </c>
      <c r="O44" s="13">
        <f t="shared" si="0"/>
        <v>0</v>
      </c>
      <c r="P44" s="9" t="s">
        <v>24</v>
      </c>
      <c r="Q44" s="13">
        <v>10</v>
      </c>
      <c r="R44" t="s">
        <v>260</v>
      </c>
      <c r="S44" s="9" t="s">
        <v>124</v>
      </c>
      <c r="T44" s="9"/>
      <c r="U44" s="9"/>
      <c r="V44" s="9" t="s">
        <v>197</v>
      </c>
      <c r="W44" s="9" t="s">
        <v>149</v>
      </c>
      <c r="X44" s="9" t="s">
        <v>122</v>
      </c>
      <c r="Y44" s="9" t="s">
        <v>150</v>
      </c>
      <c r="Z44" s="9" t="s">
        <v>161</v>
      </c>
      <c r="AA44" s="9" t="s">
        <v>161</v>
      </c>
      <c r="AB44" t="s">
        <v>305</v>
      </c>
    </row>
    <row r="45" spans="2:28" x14ac:dyDescent="0.3">
      <c r="B45">
        <f t="shared" si="1"/>
        <v>41</v>
      </c>
      <c r="D45" t="s">
        <v>287</v>
      </c>
      <c r="E45" t="s">
        <v>221</v>
      </c>
      <c r="F45" t="s">
        <v>306</v>
      </c>
      <c r="G45" t="s">
        <v>281</v>
      </c>
      <c r="I45" s="25">
        <v>46079</v>
      </c>
      <c r="J45" s="12">
        <v>0</v>
      </c>
      <c r="K45" s="12">
        <v>0</v>
      </c>
      <c r="L45" s="12">
        <v>0</v>
      </c>
      <c r="M45" s="13">
        <v>0</v>
      </c>
      <c r="N45" s="13">
        <v>0</v>
      </c>
      <c r="O45" s="13">
        <f t="shared" si="0"/>
        <v>0</v>
      </c>
      <c r="P45" s="9" t="s">
        <v>24</v>
      </c>
      <c r="Q45" s="13">
        <v>4</v>
      </c>
      <c r="R45" t="s">
        <v>260</v>
      </c>
      <c r="S45" s="9" t="s">
        <v>124</v>
      </c>
      <c r="T45" s="9"/>
      <c r="U45" s="9"/>
      <c r="V45" s="9" t="s">
        <v>197</v>
      </c>
      <c r="W45" s="9" t="s">
        <v>149</v>
      </c>
      <c r="X45" s="9" t="s">
        <v>122</v>
      </c>
      <c r="Y45" s="9" t="s">
        <v>150</v>
      </c>
      <c r="Z45" s="9" t="s">
        <v>161</v>
      </c>
      <c r="AA45" s="9" t="s">
        <v>161</v>
      </c>
      <c r="AB45" t="s">
        <v>305</v>
      </c>
    </row>
    <row r="46" spans="2:28" x14ac:dyDescent="0.3">
      <c r="B46">
        <f t="shared" si="1"/>
        <v>42</v>
      </c>
      <c r="D46" t="s">
        <v>307</v>
      </c>
      <c r="E46" t="s">
        <v>221</v>
      </c>
      <c r="F46" t="s">
        <v>308</v>
      </c>
      <c r="G46" t="s">
        <v>281</v>
      </c>
      <c r="I46" s="25">
        <v>46080</v>
      </c>
      <c r="J46" s="12">
        <v>0</v>
      </c>
      <c r="K46" s="12">
        <v>0</v>
      </c>
      <c r="L46" s="12">
        <v>0</v>
      </c>
      <c r="M46" s="13">
        <v>0</v>
      </c>
      <c r="N46" s="13">
        <v>0</v>
      </c>
      <c r="O46" s="13">
        <f t="shared" si="0"/>
        <v>0</v>
      </c>
      <c r="P46" s="9" t="s">
        <v>24</v>
      </c>
      <c r="Q46" s="13">
        <v>7</v>
      </c>
      <c r="R46" t="s">
        <v>260</v>
      </c>
      <c r="S46" s="9" t="s">
        <v>124</v>
      </c>
      <c r="T46" s="9"/>
      <c r="U46" s="9"/>
      <c r="V46" s="9" t="s">
        <v>77</v>
      </c>
      <c r="W46" s="9" t="s">
        <v>145</v>
      </c>
      <c r="X46" s="9" t="s">
        <v>70</v>
      </c>
      <c r="Y46" s="9" t="s">
        <v>150</v>
      </c>
      <c r="Z46" s="9" t="s">
        <v>157</v>
      </c>
      <c r="AA46" s="9" t="s">
        <v>157</v>
      </c>
      <c r="AB46" t="s">
        <v>309</v>
      </c>
    </row>
    <row r="47" spans="2:28" x14ac:dyDescent="0.3">
      <c r="B47">
        <f t="shared" si="1"/>
        <v>43</v>
      </c>
      <c r="D47" t="s">
        <v>233</v>
      </c>
      <c r="E47" t="s">
        <v>217</v>
      </c>
      <c r="F47" t="s">
        <v>310</v>
      </c>
      <c r="G47" t="s">
        <v>281</v>
      </c>
      <c r="I47" s="11" t="s">
        <v>311</v>
      </c>
      <c r="J47" s="12">
        <v>0</v>
      </c>
      <c r="K47" s="12">
        <v>0</v>
      </c>
      <c r="L47" s="12">
        <v>0</v>
      </c>
      <c r="M47" s="13">
        <v>0</v>
      </c>
      <c r="N47" s="13">
        <v>0</v>
      </c>
      <c r="O47" s="13">
        <f t="shared" si="0"/>
        <v>0</v>
      </c>
      <c r="P47" s="9" t="s">
        <v>22</v>
      </c>
      <c r="Q47" s="13">
        <v>9</v>
      </c>
      <c r="R47" t="s">
        <v>260</v>
      </c>
      <c r="S47" s="9" t="s">
        <v>11</v>
      </c>
      <c r="T47" s="9"/>
      <c r="U47" s="9"/>
      <c r="V47" s="9" t="s">
        <v>76</v>
      </c>
      <c r="W47" s="9" t="s">
        <v>148</v>
      </c>
      <c r="X47" s="9" t="s">
        <v>66</v>
      </c>
      <c r="Y47" s="9" t="s">
        <v>150</v>
      </c>
      <c r="Z47" s="9" t="s">
        <v>161</v>
      </c>
      <c r="AA47" s="9" t="s">
        <v>161</v>
      </c>
      <c r="AB47" t="s">
        <v>312</v>
      </c>
    </row>
    <row r="48" spans="2:28" x14ac:dyDescent="0.3">
      <c r="B48">
        <f t="shared" si="1"/>
        <v>44</v>
      </c>
      <c r="D48" t="s">
        <v>229</v>
      </c>
      <c r="E48" t="s">
        <v>221</v>
      </c>
      <c r="F48" t="s">
        <v>313</v>
      </c>
      <c r="G48" t="s">
        <v>281</v>
      </c>
      <c r="I48" s="11" t="s">
        <v>314</v>
      </c>
      <c r="J48" s="12">
        <v>0</v>
      </c>
      <c r="K48" s="12">
        <v>0</v>
      </c>
      <c r="L48" s="12">
        <v>0</v>
      </c>
      <c r="M48" s="13">
        <v>0</v>
      </c>
      <c r="N48" s="13">
        <v>0</v>
      </c>
      <c r="O48" s="13">
        <f t="shared" si="0"/>
        <v>0</v>
      </c>
      <c r="P48" s="9" t="s">
        <v>24</v>
      </c>
      <c r="Q48" s="13">
        <v>8</v>
      </c>
      <c r="R48" t="s">
        <v>260</v>
      </c>
      <c r="S48" s="9" t="s">
        <v>11</v>
      </c>
      <c r="T48" s="9"/>
      <c r="U48" s="9"/>
      <c r="V48" s="9" t="s">
        <v>76</v>
      </c>
      <c r="W48" s="9" t="s">
        <v>148</v>
      </c>
      <c r="X48" s="9" t="s">
        <v>80</v>
      </c>
      <c r="Y48" s="9" t="s">
        <v>150</v>
      </c>
      <c r="Z48" s="9" t="s">
        <v>161</v>
      </c>
      <c r="AA48" s="9" t="s">
        <v>161</v>
      </c>
      <c r="AB48" t="s">
        <v>315</v>
      </c>
    </row>
    <row r="49" spans="2:28" x14ac:dyDescent="0.3">
      <c r="B49">
        <f t="shared" si="1"/>
        <v>45</v>
      </c>
      <c r="D49" t="s">
        <v>287</v>
      </c>
      <c r="E49" t="s">
        <v>221</v>
      </c>
      <c r="F49" t="s">
        <v>316</v>
      </c>
      <c r="G49" t="s">
        <v>281</v>
      </c>
      <c r="I49" s="11" t="s">
        <v>314</v>
      </c>
      <c r="J49" s="12">
        <v>0</v>
      </c>
      <c r="K49" s="12">
        <v>0</v>
      </c>
      <c r="L49" s="12">
        <v>0</v>
      </c>
      <c r="M49" s="13">
        <v>0</v>
      </c>
      <c r="N49" s="13">
        <v>0</v>
      </c>
      <c r="O49" s="13">
        <f t="shared" si="0"/>
        <v>0</v>
      </c>
      <c r="P49" s="9" t="s">
        <v>24</v>
      </c>
      <c r="Q49" s="13">
        <v>8</v>
      </c>
      <c r="R49" t="s">
        <v>260</v>
      </c>
      <c r="S49" s="9" t="s">
        <v>11</v>
      </c>
      <c r="T49" s="9"/>
      <c r="U49" s="9"/>
      <c r="V49" s="9" t="s">
        <v>76</v>
      </c>
      <c r="W49" s="9" t="s">
        <v>148</v>
      </c>
      <c r="X49" s="9" t="s">
        <v>80</v>
      </c>
      <c r="Y49" s="9" t="s">
        <v>150</v>
      </c>
      <c r="Z49" s="9" t="s">
        <v>161</v>
      </c>
      <c r="AA49" s="9" t="s">
        <v>161</v>
      </c>
      <c r="AB49" t="s">
        <v>315</v>
      </c>
    </row>
    <row r="50" spans="2:28" x14ac:dyDescent="0.3">
      <c r="B50">
        <f t="shared" si="1"/>
        <v>46</v>
      </c>
      <c r="D50" t="s">
        <v>223</v>
      </c>
      <c r="E50" t="s">
        <v>221</v>
      </c>
      <c r="F50" t="s">
        <v>317</v>
      </c>
      <c r="G50" t="s">
        <v>281</v>
      </c>
      <c r="I50" s="11" t="s">
        <v>314</v>
      </c>
      <c r="J50" s="12">
        <v>0</v>
      </c>
      <c r="K50" s="12">
        <v>0</v>
      </c>
      <c r="L50" s="12">
        <v>0</v>
      </c>
      <c r="M50" s="13">
        <v>0</v>
      </c>
      <c r="N50" s="13">
        <v>0</v>
      </c>
      <c r="O50" s="13">
        <f t="shared" si="0"/>
        <v>0</v>
      </c>
      <c r="P50" s="9" t="s">
        <v>24</v>
      </c>
      <c r="Q50" s="13">
        <v>8</v>
      </c>
      <c r="R50" t="s">
        <v>260</v>
      </c>
      <c r="S50" s="9" t="s">
        <v>11</v>
      </c>
      <c r="T50" s="9"/>
      <c r="U50" s="9"/>
      <c r="V50" s="9" t="s">
        <v>76</v>
      </c>
      <c r="W50" s="9" t="s">
        <v>148</v>
      </c>
      <c r="X50" s="9" t="s">
        <v>80</v>
      </c>
      <c r="Y50" s="9" t="s">
        <v>150</v>
      </c>
      <c r="Z50" s="9" t="s">
        <v>161</v>
      </c>
      <c r="AA50" s="9" t="s">
        <v>161</v>
      </c>
      <c r="AB50" t="s">
        <v>315</v>
      </c>
    </row>
    <row r="51" spans="2:28" x14ac:dyDescent="0.3">
      <c r="B51">
        <f t="shared" si="1"/>
        <v>47</v>
      </c>
      <c r="D51" t="s">
        <v>251</v>
      </c>
      <c r="E51" t="s">
        <v>221</v>
      </c>
      <c r="F51" t="s">
        <v>318</v>
      </c>
      <c r="G51" t="s">
        <v>281</v>
      </c>
      <c r="I51" s="11" t="s">
        <v>314</v>
      </c>
      <c r="J51" s="12">
        <v>0</v>
      </c>
      <c r="K51" s="12">
        <v>0</v>
      </c>
      <c r="L51" s="12">
        <v>0</v>
      </c>
      <c r="M51" s="13">
        <v>0</v>
      </c>
      <c r="N51" s="13">
        <v>0</v>
      </c>
      <c r="O51" s="13">
        <f t="shared" si="0"/>
        <v>0</v>
      </c>
      <c r="P51" s="9" t="s">
        <v>24</v>
      </c>
      <c r="Q51" s="13">
        <v>8</v>
      </c>
      <c r="R51" t="s">
        <v>260</v>
      </c>
      <c r="S51" s="9" t="s">
        <v>11</v>
      </c>
      <c r="T51" s="9"/>
      <c r="U51" s="9"/>
      <c r="V51" s="9" t="s">
        <v>76</v>
      </c>
      <c r="W51" s="9" t="s">
        <v>148</v>
      </c>
      <c r="X51" s="9" t="s">
        <v>80</v>
      </c>
      <c r="Y51" s="9" t="s">
        <v>150</v>
      </c>
      <c r="Z51" s="9" t="s">
        <v>161</v>
      </c>
      <c r="AA51" s="9" t="s">
        <v>161</v>
      </c>
      <c r="AB51" t="s">
        <v>315</v>
      </c>
    </row>
    <row r="52" spans="2:28" x14ac:dyDescent="0.3">
      <c r="B52">
        <f t="shared" si="1"/>
        <v>48</v>
      </c>
      <c r="D52" t="s">
        <v>287</v>
      </c>
      <c r="E52" t="s">
        <v>221</v>
      </c>
      <c r="F52" t="s">
        <v>319</v>
      </c>
      <c r="G52" t="s">
        <v>281</v>
      </c>
      <c r="I52" s="11" t="s">
        <v>320</v>
      </c>
      <c r="J52" s="12">
        <v>0</v>
      </c>
      <c r="K52" s="12">
        <v>0</v>
      </c>
      <c r="L52" s="12">
        <v>0</v>
      </c>
      <c r="M52" s="13">
        <v>0</v>
      </c>
      <c r="N52" s="13">
        <v>0</v>
      </c>
      <c r="O52" s="13">
        <f t="shared" si="0"/>
        <v>0</v>
      </c>
      <c r="P52" s="9" t="s">
        <v>24</v>
      </c>
      <c r="Q52" s="13">
        <v>1</v>
      </c>
      <c r="R52" t="s">
        <v>260</v>
      </c>
      <c r="S52" s="9" t="s">
        <v>124</v>
      </c>
      <c r="T52" s="9"/>
      <c r="U52" s="9"/>
      <c r="V52" s="9" t="s">
        <v>77</v>
      </c>
      <c r="W52" s="9" t="s">
        <v>145</v>
      </c>
      <c r="X52" s="9" t="s">
        <v>65</v>
      </c>
      <c r="Y52" s="9" t="s">
        <v>88</v>
      </c>
      <c r="Z52" s="9" t="s">
        <v>88</v>
      </c>
      <c r="AA52" s="9" t="s">
        <v>88</v>
      </c>
      <c r="AB52" t="s">
        <v>321</v>
      </c>
    </row>
    <row r="53" spans="2:28" x14ac:dyDescent="0.3">
      <c r="B53">
        <f t="shared" si="1"/>
        <v>49</v>
      </c>
      <c r="D53" t="s">
        <v>231</v>
      </c>
      <c r="E53" t="s">
        <v>221</v>
      </c>
      <c r="F53" t="s">
        <v>322</v>
      </c>
      <c r="G53" t="s">
        <v>281</v>
      </c>
      <c r="I53" s="11" t="s">
        <v>320</v>
      </c>
      <c r="J53" s="12">
        <v>0</v>
      </c>
      <c r="K53" s="12">
        <v>0</v>
      </c>
      <c r="L53" s="12">
        <v>0</v>
      </c>
      <c r="M53" s="13">
        <v>0</v>
      </c>
      <c r="N53" s="13">
        <v>0</v>
      </c>
      <c r="O53" s="13">
        <f t="shared" si="0"/>
        <v>0</v>
      </c>
      <c r="P53" s="9" t="s">
        <v>24</v>
      </c>
      <c r="Q53" s="13">
        <v>4</v>
      </c>
      <c r="R53" t="s">
        <v>260</v>
      </c>
      <c r="S53" s="9" t="s">
        <v>124</v>
      </c>
      <c r="T53" s="9"/>
      <c r="U53" s="9"/>
      <c r="V53" s="9" t="s">
        <v>77</v>
      </c>
      <c r="W53" s="9" t="s">
        <v>145</v>
      </c>
      <c r="X53" s="9" t="s">
        <v>65</v>
      </c>
      <c r="Y53" s="9" t="s">
        <v>88</v>
      </c>
      <c r="Z53" s="9" t="s">
        <v>88</v>
      </c>
      <c r="AA53" s="9" t="s">
        <v>88</v>
      </c>
      <c r="AB53" t="s">
        <v>321</v>
      </c>
    </row>
    <row r="54" spans="2:28" x14ac:dyDescent="0.3">
      <c r="B54">
        <f t="shared" si="1"/>
        <v>50</v>
      </c>
      <c r="D54" t="s">
        <v>223</v>
      </c>
      <c r="E54" t="s">
        <v>221</v>
      </c>
      <c r="F54" t="s">
        <v>323</v>
      </c>
      <c r="G54" t="s">
        <v>281</v>
      </c>
      <c r="I54" s="11" t="s">
        <v>324</v>
      </c>
      <c r="J54" s="12">
        <v>0</v>
      </c>
      <c r="K54" s="12">
        <v>0</v>
      </c>
      <c r="L54" s="12">
        <v>0</v>
      </c>
      <c r="M54" s="13">
        <v>0</v>
      </c>
      <c r="N54" s="13">
        <v>0</v>
      </c>
      <c r="O54" s="13">
        <f t="shared" si="0"/>
        <v>0</v>
      </c>
      <c r="P54" s="9" t="s">
        <v>24</v>
      </c>
      <c r="Q54" s="13">
        <v>6</v>
      </c>
      <c r="R54" t="s">
        <v>260</v>
      </c>
      <c r="S54" s="9" t="s">
        <v>124</v>
      </c>
      <c r="T54" s="9"/>
      <c r="U54" s="9"/>
      <c r="V54" s="9" t="s">
        <v>77</v>
      </c>
      <c r="W54" s="9" t="s">
        <v>145</v>
      </c>
      <c r="X54" s="9" t="s">
        <v>65</v>
      </c>
      <c r="Y54" s="9" t="s">
        <v>151</v>
      </c>
      <c r="Z54" s="9" t="s">
        <v>158</v>
      </c>
      <c r="AA54" s="9" t="s">
        <v>158</v>
      </c>
      <c r="AB54" t="s">
        <v>325</v>
      </c>
    </row>
    <row r="55" spans="2:28" x14ac:dyDescent="0.3">
      <c r="B55">
        <f t="shared" si="1"/>
        <v>51</v>
      </c>
      <c r="D55" t="s">
        <v>223</v>
      </c>
      <c r="E55" t="s">
        <v>221</v>
      </c>
      <c r="F55" t="s">
        <v>326</v>
      </c>
      <c r="G55" t="s">
        <v>281</v>
      </c>
      <c r="I55" s="11" t="s">
        <v>324</v>
      </c>
      <c r="J55" s="12">
        <v>0</v>
      </c>
      <c r="K55" s="12">
        <v>0</v>
      </c>
      <c r="L55" s="12">
        <v>0</v>
      </c>
      <c r="M55" s="13">
        <v>0</v>
      </c>
      <c r="N55" s="13">
        <v>0</v>
      </c>
      <c r="O55" s="13">
        <f t="shared" si="0"/>
        <v>0</v>
      </c>
      <c r="P55" s="9" t="s">
        <v>24</v>
      </c>
      <c r="Q55" s="13">
        <v>7</v>
      </c>
      <c r="R55" t="s">
        <v>260</v>
      </c>
      <c r="S55" s="9" t="s">
        <v>124</v>
      </c>
      <c r="T55" s="9"/>
      <c r="U55" s="9"/>
      <c r="V55" s="9" t="s">
        <v>77</v>
      </c>
      <c r="W55" s="9" t="s">
        <v>145</v>
      </c>
      <c r="X55" s="9" t="s">
        <v>65</v>
      </c>
      <c r="Y55" s="9" t="s">
        <v>151</v>
      </c>
      <c r="Z55" s="9" t="s">
        <v>158</v>
      </c>
      <c r="AA55" s="9" t="s">
        <v>158</v>
      </c>
      <c r="AB55" t="s">
        <v>325</v>
      </c>
    </row>
    <row r="56" spans="2:28" x14ac:dyDescent="0.3">
      <c r="B56">
        <f t="shared" si="1"/>
        <v>52</v>
      </c>
      <c r="D56" t="s">
        <v>223</v>
      </c>
      <c r="E56" t="s">
        <v>221</v>
      </c>
      <c r="F56" t="s">
        <v>327</v>
      </c>
      <c r="G56" t="s">
        <v>281</v>
      </c>
      <c r="I56" s="11" t="s">
        <v>324</v>
      </c>
      <c r="J56" s="12">
        <v>0</v>
      </c>
      <c r="K56" s="12">
        <v>0</v>
      </c>
      <c r="L56" s="12">
        <v>0</v>
      </c>
      <c r="M56" s="13">
        <v>0</v>
      </c>
      <c r="N56" s="13">
        <v>0</v>
      </c>
      <c r="O56" s="13">
        <f t="shared" si="0"/>
        <v>0</v>
      </c>
      <c r="P56" s="9" t="s">
        <v>24</v>
      </c>
      <c r="Q56" s="13">
        <v>10</v>
      </c>
      <c r="R56" t="s">
        <v>260</v>
      </c>
      <c r="S56" s="9" t="s">
        <v>124</v>
      </c>
      <c r="T56" s="9"/>
      <c r="U56" s="9"/>
      <c r="V56" s="9" t="s">
        <v>77</v>
      </c>
      <c r="W56" s="9" t="s">
        <v>145</v>
      </c>
      <c r="X56" s="9" t="s">
        <v>65</v>
      </c>
      <c r="Y56" s="9" t="s">
        <v>151</v>
      </c>
      <c r="Z56" s="9" t="s">
        <v>158</v>
      </c>
      <c r="AA56" s="9" t="s">
        <v>158</v>
      </c>
      <c r="AB56" t="s">
        <v>325</v>
      </c>
    </row>
    <row r="57" spans="2:28" x14ac:dyDescent="0.3">
      <c r="B57">
        <f t="shared" si="1"/>
        <v>53</v>
      </c>
      <c r="D57" t="s">
        <v>216</v>
      </c>
      <c r="E57" t="s">
        <v>217</v>
      </c>
      <c r="F57" t="s">
        <v>328</v>
      </c>
      <c r="G57" t="s">
        <v>281</v>
      </c>
      <c r="I57" s="11" t="s">
        <v>329</v>
      </c>
      <c r="J57" s="12">
        <v>0</v>
      </c>
      <c r="K57" s="12">
        <v>0</v>
      </c>
      <c r="L57" s="12">
        <v>0</v>
      </c>
      <c r="M57" s="13">
        <v>0</v>
      </c>
      <c r="N57" s="13">
        <v>0</v>
      </c>
      <c r="O57" s="13">
        <f t="shared" si="0"/>
        <v>0</v>
      </c>
      <c r="P57" s="9" t="s">
        <v>25</v>
      </c>
      <c r="Q57" s="13">
        <v>6</v>
      </c>
      <c r="R57" t="s">
        <v>260</v>
      </c>
      <c r="S57" s="9" t="s">
        <v>11</v>
      </c>
      <c r="T57" s="9" t="s">
        <v>30</v>
      </c>
      <c r="U57" s="9"/>
      <c r="V57" s="9" t="s">
        <v>76</v>
      </c>
      <c r="W57" s="9" t="s">
        <v>148</v>
      </c>
      <c r="X57" s="9" t="s">
        <v>68</v>
      </c>
      <c r="Y57" s="9" t="s">
        <v>150</v>
      </c>
      <c r="Z57" s="9" t="s">
        <v>161</v>
      </c>
      <c r="AA57" s="9" t="s">
        <v>161</v>
      </c>
      <c r="AB57" t="s">
        <v>312</v>
      </c>
    </row>
    <row r="58" spans="2:28" x14ac:dyDescent="0.3">
      <c r="B58">
        <f t="shared" si="1"/>
        <v>54</v>
      </c>
      <c r="D58" t="s">
        <v>233</v>
      </c>
      <c r="E58" t="s">
        <v>217</v>
      </c>
      <c r="F58" t="s">
        <v>330</v>
      </c>
      <c r="G58" t="s">
        <v>281</v>
      </c>
      <c r="I58" s="11" t="s">
        <v>329</v>
      </c>
      <c r="J58" s="12">
        <v>0</v>
      </c>
      <c r="K58" s="12">
        <v>0</v>
      </c>
      <c r="L58" s="12">
        <v>0</v>
      </c>
      <c r="M58" s="13">
        <v>0</v>
      </c>
      <c r="N58" s="13">
        <v>0</v>
      </c>
      <c r="O58" s="13">
        <f t="shared" si="0"/>
        <v>0</v>
      </c>
      <c r="P58" s="9" t="s">
        <v>25</v>
      </c>
      <c r="Q58" s="13">
        <v>10</v>
      </c>
      <c r="R58" t="s">
        <v>260</v>
      </c>
      <c r="S58" s="9" t="s">
        <v>11</v>
      </c>
      <c r="T58" s="9" t="s">
        <v>30</v>
      </c>
      <c r="U58" s="9"/>
      <c r="V58" s="9" t="s">
        <v>76</v>
      </c>
      <c r="W58" s="9" t="s">
        <v>148</v>
      </c>
      <c r="X58" s="9" t="s">
        <v>68</v>
      </c>
      <c r="Y58" s="9" t="s">
        <v>150</v>
      </c>
      <c r="Z58" s="9" t="s">
        <v>161</v>
      </c>
      <c r="AA58" s="9" t="s">
        <v>161</v>
      </c>
      <c r="AB58" t="s">
        <v>312</v>
      </c>
    </row>
    <row r="59" spans="2:28" x14ac:dyDescent="0.3">
      <c r="B59">
        <f t="shared" si="1"/>
        <v>55</v>
      </c>
      <c r="D59" t="s">
        <v>223</v>
      </c>
      <c r="E59" t="s">
        <v>217</v>
      </c>
      <c r="F59" t="s">
        <v>331</v>
      </c>
      <c r="G59" t="s">
        <v>281</v>
      </c>
      <c r="I59" s="11" t="s">
        <v>329</v>
      </c>
      <c r="J59" s="12">
        <v>0</v>
      </c>
      <c r="K59" s="12">
        <v>0</v>
      </c>
      <c r="L59" s="12">
        <v>0</v>
      </c>
      <c r="M59" s="13">
        <v>0</v>
      </c>
      <c r="N59" s="13">
        <v>0</v>
      </c>
      <c r="O59" s="13">
        <f t="shared" si="0"/>
        <v>0</v>
      </c>
      <c r="P59" s="9" t="s">
        <v>25</v>
      </c>
      <c r="Q59" s="13">
        <v>10</v>
      </c>
      <c r="R59" t="s">
        <v>260</v>
      </c>
      <c r="S59" s="9" t="s">
        <v>11</v>
      </c>
      <c r="T59" s="9" t="s">
        <v>30</v>
      </c>
      <c r="U59" s="9"/>
      <c r="V59" s="9" t="s">
        <v>76</v>
      </c>
      <c r="W59" s="9" t="s">
        <v>148</v>
      </c>
      <c r="X59" s="9" t="s">
        <v>68</v>
      </c>
      <c r="Y59" s="9" t="s">
        <v>150</v>
      </c>
      <c r="Z59" s="9" t="s">
        <v>161</v>
      </c>
      <c r="AA59" s="9" t="s">
        <v>161</v>
      </c>
      <c r="AB59" t="s">
        <v>312</v>
      </c>
    </row>
    <row r="60" spans="2:28" x14ac:dyDescent="0.3">
      <c r="B60">
        <f t="shared" si="1"/>
        <v>56</v>
      </c>
      <c r="D60" t="s">
        <v>287</v>
      </c>
      <c r="E60" t="s">
        <v>217</v>
      </c>
      <c r="F60" t="s">
        <v>332</v>
      </c>
      <c r="G60" t="s">
        <v>281</v>
      </c>
      <c r="I60" s="11" t="s">
        <v>329</v>
      </c>
      <c r="J60" s="12">
        <v>0</v>
      </c>
      <c r="K60" s="12">
        <v>0</v>
      </c>
      <c r="L60" s="12">
        <v>0</v>
      </c>
      <c r="M60" s="13">
        <v>0</v>
      </c>
      <c r="N60" s="13">
        <v>0</v>
      </c>
      <c r="O60" s="13">
        <f t="shared" si="0"/>
        <v>0</v>
      </c>
      <c r="P60" s="9" t="s">
        <v>25</v>
      </c>
      <c r="Q60" s="13">
        <v>10</v>
      </c>
      <c r="R60" t="s">
        <v>260</v>
      </c>
      <c r="S60" s="9" t="s">
        <v>11</v>
      </c>
      <c r="T60" s="9" t="s">
        <v>30</v>
      </c>
      <c r="U60" s="9"/>
      <c r="V60" s="9" t="s">
        <v>76</v>
      </c>
      <c r="W60" s="9" t="s">
        <v>148</v>
      </c>
      <c r="X60" s="9" t="s">
        <v>68</v>
      </c>
      <c r="Y60" s="9" t="s">
        <v>150</v>
      </c>
      <c r="Z60" s="9" t="s">
        <v>161</v>
      </c>
      <c r="AA60" s="9" t="s">
        <v>161</v>
      </c>
      <c r="AB60" t="s">
        <v>312</v>
      </c>
    </row>
    <row r="61" spans="2:28" x14ac:dyDescent="0.3">
      <c r="B61">
        <f t="shared" si="1"/>
        <v>57</v>
      </c>
      <c r="D61" t="s">
        <v>227</v>
      </c>
      <c r="E61" t="s">
        <v>217</v>
      </c>
      <c r="F61" t="s">
        <v>333</v>
      </c>
      <c r="G61" t="s">
        <v>281</v>
      </c>
      <c r="I61" s="11" t="s">
        <v>329</v>
      </c>
      <c r="J61" s="12">
        <v>0</v>
      </c>
      <c r="K61" s="12">
        <v>0</v>
      </c>
      <c r="L61" s="12">
        <v>0</v>
      </c>
      <c r="M61" s="13">
        <v>0</v>
      </c>
      <c r="N61" s="13">
        <v>0</v>
      </c>
      <c r="O61" s="13">
        <f t="shared" si="0"/>
        <v>0</v>
      </c>
      <c r="P61" s="9" t="s">
        <v>25</v>
      </c>
      <c r="Q61" s="13">
        <v>10</v>
      </c>
      <c r="R61" t="s">
        <v>260</v>
      </c>
      <c r="S61" s="9" t="s">
        <v>11</v>
      </c>
      <c r="T61" s="9" t="s">
        <v>30</v>
      </c>
      <c r="U61" s="9"/>
      <c r="V61" s="9" t="s">
        <v>76</v>
      </c>
      <c r="W61" s="9" t="s">
        <v>148</v>
      </c>
      <c r="X61" s="9" t="s">
        <v>68</v>
      </c>
      <c r="Y61" s="9" t="s">
        <v>150</v>
      </c>
      <c r="Z61" s="9" t="s">
        <v>161</v>
      </c>
      <c r="AA61" s="9" t="s">
        <v>161</v>
      </c>
      <c r="AB61" t="s">
        <v>312</v>
      </c>
    </row>
    <row r="62" spans="2:28" x14ac:dyDescent="0.3">
      <c r="B62">
        <f t="shared" si="1"/>
        <v>58</v>
      </c>
      <c r="D62" t="s">
        <v>231</v>
      </c>
      <c r="E62" t="s">
        <v>217</v>
      </c>
      <c r="F62" t="s">
        <v>334</v>
      </c>
      <c r="G62" t="s">
        <v>281</v>
      </c>
      <c r="I62" s="11" t="s">
        <v>335</v>
      </c>
      <c r="J62" s="12">
        <v>0</v>
      </c>
      <c r="K62" s="12">
        <v>0</v>
      </c>
      <c r="L62" s="12">
        <v>0</v>
      </c>
      <c r="M62" s="13">
        <v>0</v>
      </c>
      <c r="N62" s="13">
        <v>0</v>
      </c>
      <c r="O62" s="13">
        <f t="shared" si="0"/>
        <v>0</v>
      </c>
      <c r="P62" s="9" t="s">
        <v>25</v>
      </c>
      <c r="Q62" s="13">
        <v>9</v>
      </c>
      <c r="R62" t="s">
        <v>260</v>
      </c>
      <c r="S62" s="9" t="s">
        <v>11</v>
      </c>
      <c r="T62" s="9" t="s">
        <v>30</v>
      </c>
      <c r="U62" s="9"/>
      <c r="V62" s="9" t="s">
        <v>76</v>
      </c>
      <c r="W62" s="9" t="s">
        <v>148</v>
      </c>
      <c r="X62" s="9" t="s">
        <v>67</v>
      </c>
      <c r="Y62" s="9" t="s">
        <v>150</v>
      </c>
      <c r="Z62" s="9" t="s">
        <v>161</v>
      </c>
      <c r="AA62" s="9" t="s">
        <v>161</v>
      </c>
      <c r="AB62" t="s">
        <v>336</v>
      </c>
    </row>
    <row r="63" spans="2:28" x14ac:dyDescent="0.3">
      <c r="B63">
        <f t="shared" si="1"/>
        <v>59</v>
      </c>
      <c r="D63" t="s">
        <v>233</v>
      </c>
      <c r="E63" t="s">
        <v>217</v>
      </c>
      <c r="F63" t="s">
        <v>337</v>
      </c>
      <c r="G63" t="s">
        <v>281</v>
      </c>
      <c r="I63" s="11" t="s">
        <v>335</v>
      </c>
      <c r="J63" s="12">
        <v>0</v>
      </c>
      <c r="K63" s="12">
        <v>0</v>
      </c>
      <c r="L63" s="12">
        <v>0</v>
      </c>
      <c r="M63" s="13">
        <v>0</v>
      </c>
      <c r="N63" s="13">
        <v>0</v>
      </c>
      <c r="O63" s="13">
        <f t="shared" si="0"/>
        <v>0</v>
      </c>
      <c r="P63" s="9" t="s">
        <v>25</v>
      </c>
      <c r="Q63" s="13">
        <v>10</v>
      </c>
      <c r="R63" t="s">
        <v>260</v>
      </c>
      <c r="S63" s="9" t="s">
        <v>11</v>
      </c>
      <c r="T63" s="9" t="s">
        <v>30</v>
      </c>
      <c r="U63" s="9"/>
      <c r="V63" s="9" t="s">
        <v>76</v>
      </c>
      <c r="W63" s="9" t="s">
        <v>148</v>
      </c>
      <c r="X63" s="9" t="s">
        <v>67</v>
      </c>
      <c r="Y63" s="9" t="s">
        <v>150</v>
      </c>
      <c r="Z63" s="9" t="s">
        <v>161</v>
      </c>
      <c r="AA63" s="9" t="s">
        <v>161</v>
      </c>
      <c r="AB63" t="s">
        <v>336</v>
      </c>
    </row>
    <row r="64" spans="2:28" x14ac:dyDescent="0.3">
      <c r="B64">
        <f t="shared" si="1"/>
        <v>60</v>
      </c>
      <c r="D64" t="s">
        <v>229</v>
      </c>
      <c r="E64" t="s">
        <v>221</v>
      </c>
      <c r="F64" t="s">
        <v>338</v>
      </c>
      <c r="G64" t="s">
        <v>281</v>
      </c>
      <c r="I64" s="25">
        <v>46112</v>
      </c>
      <c r="J64" s="12">
        <v>0</v>
      </c>
      <c r="K64" s="12">
        <v>0</v>
      </c>
      <c r="L64" s="12">
        <v>0</v>
      </c>
      <c r="M64" s="13">
        <v>0</v>
      </c>
      <c r="N64" s="13">
        <v>0</v>
      </c>
      <c r="O64" s="13">
        <f t="shared" si="0"/>
        <v>0</v>
      </c>
      <c r="P64" s="9" t="s">
        <v>21</v>
      </c>
      <c r="Q64" s="13">
        <v>4</v>
      </c>
      <c r="R64" t="s">
        <v>260</v>
      </c>
      <c r="S64" s="9" t="s">
        <v>124</v>
      </c>
      <c r="T64" s="9"/>
      <c r="U64" s="9"/>
      <c r="V64" s="9" t="s">
        <v>77</v>
      </c>
      <c r="W64" s="9" t="s">
        <v>145</v>
      </c>
      <c r="X64" s="9" t="s">
        <v>65</v>
      </c>
      <c r="Y64" s="9" t="s">
        <v>88</v>
      </c>
      <c r="Z64" s="9" t="s">
        <v>88</v>
      </c>
      <c r="AA64" s="9" t="s">
        <v>88</v>
      </c>
      <c r="AB64" t="s">
        <v>339</v>
      </c>
    </row>
    <row r="65" spans="2:28" x14ac:dyDescent="0.3">
      <c r="B65">
        <f t="shared" si="1"/>
        <v>61</v>
      </c>
      <c r="D65" t="s">
        <v>231</v>
      </c>
      <c r="E65" t="s">
        <v>221</v>
      </c>
      <c r="F65" t="s">
        <v>340</v>
      </c>
      <c r="G65" t="s">
        <v>281</v>
      </c>
      <c r="I65" s="25">
        <v>46113</v>
      </c>
      <c r="J65" s="12">
        <v>0</v>
      </c>
      <c r="K65" s="12">
        <v>0</v>
      </c>
      <c r="L65" s="12">
        <v>0</v>
      </c>
      <c r="M65" s="13">
        <v>0</v>
      </c>
      <c r="N65" s="13">
        <v>0</v>
      </c>
      <c r="O65" s="13">
        <f t="shared" si="0"/>
        <v>0</v>
      </c>
      <c r="P65" s="9" t="s">
        <v>21</v>
      </c>
      <c r="Q65" s="13">
        <v>10</v>
      </c>
      <c r="R65" t="s">
        <v>260</v>
      </c>
      <c r="S65" s="9" t="s">
        <v>11</v>
      </c>
      <c r="T65" s="9"/>
      <c r="U65" s="9"/>
      <c r="V65" s="9" t="s">
        <v>197</v>
      </c>
      <c r="W65" s="9" t="s">
        <v>148</v>
      </c>
      <c r="X65" s="9" t="s">
        <v>66</v>
      </c>
      <c r="Y65" s="9" t="s">
        <v>150</v>
      </c>
      <c r="Z65" s="9" t="s">
        <v>157</v>
      </c>
      <c r="AA65" s="9" t="s">
        <v>157</v>
      </c>
      <c r="AB65" t="s">
        <v>341</v>
      </c>
    </row>
    <row r="66" spans="2:28" x14ac:dyDescent="0.3">
      <c r="B66">
        <f t="shared" si="1"/>
        <v>62</v>
      </c>
      <c r="D66" t="s">
        <v>231</v>
      </c>
      <c r="E66" t="s">
        <v>221</v>
      </c>
      <c r="F66" t="s">
        <v>342</v>
      </c>
      <c r="G66" t="s">
        <v>281</v>
      </c>
      <c r="I66" s="25">
        <v>46114</v>
      </c>
      <c r="J66" s="12">
        <v>0</v>
      </c>
      <c r="K66" s="12">
        <v>0</v>
      </c>
      <c r="L66" s="12">
        <v>0</v>
      </c>
      <c r="M66" s="13">
        <v>0</v>
      </c>
      <c r="N66" s="13">
        <v>0</v>
      </c>
      <c r="O66" s="13">
        <f t="shared" si="0"/>
        <v>0</v>
      </c>
      <c r="P66" s="9" t="s">
        <v>24</v>
      </c>
      <c r="Q66" s="13">
        <v>10</v>
      </c>
      <c r="R66" t="s">
        <v>260</v>
      </c>
      <c r="S66" s="9" t="s">
        <v>11</v>
      </c>
      <c r="T66" s="9"/>
      <c r="U66" s="9"/>
      <c r="V66" s="9" t="s">
        <v>197</v>
      </c>
      <c r="W66" s="9" t="s">
        <v>149</v>
      </c>
      <c r="X66" s="9" t="s">
        <v>122</v>
      </c>
      <c r="Y66" s="9" t="s">
        <v>152</v>
      </c>
      <c r="Z66" s="9" t="s">
        <v>161</v>
      </c>
      <c r="AA66" s="9" t="s">
        <v>161</v>
      </c>
      <c r="AB66" s="9" t="s">
        <v>350</v>
      </c>
    </row>
    <row r="67" spans="2:28" x14ac:dyDescent="0.3">
      <c r="B67">
        <f t="shared" si="1"/>
        <v>63</v>
      </c>
      <c r="D67" t="s">
        <v>343</v>
      </c>
      <c r="E67" t="s">
        <v>221</v>
      </c>
      <c r="F67" t="s">
        <v>344</v>
      </c>
      <c r="G67" t="s">
        <v>281</v>
      </c>
      <c r="I67" s="25">
        <v>46114</v>
      </c>
      <c r="J67" s="12">
        <v>0</v>
      </c>
      <c r="K67" s="12">
        <v>0</v>
      </c>
      <c r="L67" s="12">
        <v>0</v>
      </c>
      <c r="M67" s="13">
        <v>0</v>
      </c>
      <c r="N67" s="13">
        <v>0</v>
      </c>
      <c r="O67" s="13">
        <f t="shared" si="0"/>
        <v>0</v>
      </c>
      <c r="P67" s="9" t="s">
        <v>24</v>
      </c>
      <c r="Q67" s="13">
        <v>10</v>
      </c>
      <c r="R67" t="s">
        <v>260</v>
      </c>
      <c r="S67" s="9" t="s">
        <v>11</v>
      </c>
      <c r="T67" s="9"/>
      <c r="U67" s="9"/>
      <c r="V67" s="9" t="s">
        <v>197</v>
      </c>
      <c r="W67" s="9" t="s">
        <v>149</v>
      </c>
      <c r="X67" s="9" t="s">
        <v>122</v>
      </c>
      <c r="Y67" s="9" t="s">
        <v>152</v>
      </c>
      <c r="Z67" s="9" t="s">
        <v>161</v>
      </c>
      <c r="AA67" s="9" t="s">
        <v>161</v>
      </c>
      <c r="AB67" s="9" t="s">
        <v>351</v>
      </c>
    </row>
    <row r="68" spans="2:28" x14ac:dyDescent="0.3">
      <c r="B68">
        <f t="shared" si="1"/>
        <v>64</v>
      </c>
      <c r="D68" t="s">
        <v>229</v>
      </c>
      <c r="E68" t="s">
        <v>221</v>
      </c>
      <c r="F68" t="s">
        <v>345</v>
      </c>
      <c r="G68" t="s">
        <v>281</v>
      </c>
      <c r="I68" s="25">
        <v>46114</v>
      </c>
      <c r="J68" s="12">
        <v>0</v>
      </c>
      <c r="K68" s="12">
        <v>0</v>
      </c>
      <c r="L68" s="12">
        <v>0</v>
      </c>
      <c r="M68" s="13">
        <v>0</v>
      </c>
      <c r="N68" s="13">
        <v>0</v>
      </c>
      <c r="O68" s="13">
        <f t="shared" si="0"/>
        <v>0</v>
      </c>
      <c r="P68" s="9" t="s">
        <v>24</v>
      </c>
      <c r="Q68" s="13">
        <v>2</v>
      </c>
      <c r="R68" t="s">
        <v>260</v>
      </c>
      <c r="S68" s="9" t="s">
        <v>11</v>
      </c>
      <c r="T68" s="9"/>
      <c r="U68" s="9"/>
      <c r="V68" s="9" t="s">
        <v>197</v>
      </c>
      <c r="W68" s="9" t="s">
        <v>149</v>
      </c>
      <c r="X68" s="9" t="s">
        <v>122</v>
      </c>
      <c r="Y68" s="9" t="s">
        <v>152</v>
      </c>
      <c r="Z68" s="9" t="s">
        <v>161</v>
      </c>
      <c r="AA68" s="9" t="s">
        <v>161</v>
      </c>
      <c r="AB68" s="9" t="s">
        <v>351</v>
      </c>
    </row>
    <row r="69" spans="2:28" x14ac:dyDescent="0.3">
      <c r="B69">
        <f t="shared" si="1"/>
        <v>65</v>
      </c>
      <c r="D69" t="s">
        <v>251</v>
      </c>
      <c r="E69" t="s">
        <v>221</v>
      </c>
      <c r="F69" t="s">
        <v>346</v>
      </c>
      <c r="G69" t="s">
        <v>281</v>
      </c>
      <c r="I69" s="25">
        <v>46116</v>
      </c>
      <c r="J69" s="12">
        <v>0</v>
      </c>
      <c r="K69" s="12">
        <v>0</v>
      </c>
      <c r="L69" s="12">
        <v>0</v>
      </c>
      <c r="M69" s="13">
        <v>0</v>
      </c>
      <c r="N69" s="13">
        <v>0</v>
      </c>
      <c r="O69" s="13">
        <f t="shared" ref="O69:O132" si="2">+M69-N69</f>
        <v>0</v>
      </c>
      <c r="P69" s="9" t="s">
        <v>24</v>
      </c>
      <c r="Q69" s="13">
        <v>10</v>
      </c>
      <c r="R69" t="s">
        <v>260</v>
      </c>
      <c r="S69" s="9" t="s">
        <v>11</v>
      </c>
      <c r="T69" s="9"/>
      <c r="U69" s="9"/>
      <c r="V69" s="9" t="s">
        <v>197</v>
      </c>
      <c r="W69" s="9" t="s">
        <v>149</v>
      </c>
      <c r="X69" s="9" t="s">
        <v>122</v>
      </c>
      <c r="Y69" s="9" t="s">
        <v>152</v>
      </c>
      <c r="Z69" s="9" t="s">
        <v>161</v>
      </c>
      <c r="AA69" s="9" t="s">
        <v>161</v>
      </c>
      <c r="AB69" t="s">
        <v>352</v>
      </c>
    </row>
    <row r="70" spans="2:28" x14ac:dyDescent="0.3">
      <c r="B70">
        <f t="shared" si="1"/>
        <v>66</v>
      </c>
      <c r="D70" t="s">
        <v>229</v>
      </c>
      <c r="E70" t="s">
        <v>221</v>
      </c>
      <c r="F70" t="s">
        <v>347</v>
      </c>
      <c r="G70" t="s">
        <v>281</v>
      </c>
      <c r="I70" s="25">
        <v>46116</v>
      </c>
      <c r="J70" s="12">
        <v>0</v>
      </c>
      <c r="K70" s="12">
        <v>0</v>
      </c>
      <c r="L70" s="12">
        <v>0</v>
      </c>
      <c r="M70" s="13">
        <v>0</v>
      </c>
      <c r="N70" s="13">
        <v>0</v>
      </c>
      <c r="O70" s="13">
        <f t="shared" si="2"/>
        <v>0</v>
      </c>
      <c r="P70" s="9" t="s">
        <v>24</v>
      </c>
      <c r="Q70" s="13">
        <v>10</v>
      </c>
      <c r="R70" t="s">
        <v>260</v>
      </c>
      <c r="S70" s="9" t="s">
        <v>11</v>
      </c>
      <c r="T70" s="9"/>
      <c r="U70" s="9"/>
      <c r="V70" s="9" t="s">
        <v>197</v>
      </c>
      <c r="W70" s="9" t="s">
        <v>149</v>
      </c>
      <c r="X70" s="9" t="s">
        <v>122</v>
      </c>
      <c r="Y70" s="9" t="s">
        <v>152</v>
      </c>
      <c r="Z70" s="9" t="s">
        <v>161</v>
      </c>
      <c r="AA70" s="9" t="s">
        <v>161</v>
      </c>
      <c r="AB70" t="s">
        <v>352</v>
      </c>
    </row>
    <row r="71" spans="2:28" x14ac:dyDescent="0.3">
      <c r="B71">
        <f t="shared" ref="B71:B72" si="3">+B70+1</f>
        <v>67</v>
      </c>
      <c r="D71" t="s">
        <v>231</v>
      </c>
      <c r="E71" t="s">
        <v>221</v>
      </c>
      <c r="F71" t="s">
        <v>348</v>
      </c>
      <c r="G71" t="s">
        <v>281</v>
      </c>
      <c r="I71" s="25">
        <v>46116</v>
      </c>
      <c r="J71" s="12">
        <v>0</v>
      </c>
      <c r="K71" s="12">
        <v>0</v>
      </c>
      <c r="L71" s="12">
        <v>0</v>
      </c>
      <c r="M71" s="13">
        <v>0</v>
      </c>
      <c r="N71" s="13">
        <v>0</v>
      </c>
      <c r="O71" s="13">
        <f t="shared" si="2"/>
        <v>0</v>
      </c>
      <c r="P71" s="9" t="s">
        <v>24</v>
      </c>
      <c r="Q71" s="13">
        <v>10</v>
      </c>
      <c r="R71" t="s">
        <v>260</v>
      </c>
      <c r="S71" s="9" t="s">
        <v>11</v>
      </c>
      <c r="T71" s="9"/>
      <c r="U71" s="9"/>
      <c r="V71" s="9" t="s">
        <v>197</v>
      </c>
      <c r="W71" s="9" t="s">
        <v>146</v>
      </c>
      <c r="X71" s="9" t="s">
        <v>90</v>
      </c>
      <c r="Y71" s="9" t="s">
        <v>150</v>
      </c>
      <c r="Z71" s="9" t="s">
        <v>161</v>
      </c>
      <c r="AA71" s="9" t="s">
        <v>161</v>
      </c>
      <c r="AB71" t="s">
        <v>353</v>
      </c>
    </row>
    <row r="72" spans="2:28" x14ac:dyDescent="0.3">
      <c r="B72">
        <f t="shared" si="3"/>
        <v>68</v>
      </c>
      <c r="D72" t="s">
        <v>229</v>
      </c>
      <c r="E72" t="s">
        <v>221</v>
      </c>
      <c r="F72" t="s">
        <v>349</v>
      </c>
      <c r="G72" t="s">
        <v>281</v>
      </c>
      <c r="I72" s="25">
        <v>46116</v>
      </c>
      <c r="J72" s="12">
        <v>0</v>
      </c>
      <c r="K72" s="12">
        <v>0</v>
      </c>
      <c r="L72" s="12">
        <v>0</v>
      </c>
      <c r="M72" s="13">
        <v>0</v>
      </c>
      <c r="N72" s="13">
        <v>0</v>
      </c>
      <c r="O72" s="13">
        <f t="shared" si="2"/>
        <v>0</v>
      </c>
      <c r="P72" s="9" t="s">
        <v>24</v>
      </c>
      <c r="Q72" s="13">
        <v>10</v>
      </c>
      <c r="R72" t="s">
        <v>260</v>
      </c>
      <c r="S72" s="9" t="s">
        <v>11</v>
      </c>
      <c r="T72" s="9"/>
      <c r="U72" s="9"/>
      <c r="V72" s="9" t="s">
        <v>197</v>
      </c>
      <c r="W72" s="9" t="s">
        <v>146</v>
      </c>
      <c r="X72" s="9" t="s">
        <v>90</v>
      </c>
      <c r="Y72" s="9" t="s">
        <v>150</v>
      </c>
      <c r="Z72" s="9" t="s">
        <v>161</v>
      </c>
      <c r="AA72" s="9" t="s">
        <v>161</v>
      </c>
      <c r="AB72" t="s">
        <v>353</v>
      </c>
    </row>
    <row r="73" spans="2:28" x14ac:dyDescent="0.3">
      <c r="B73">
        <f t="shared" ref="B73:B134" si="4">+B72+1</f>
        <v>69</v>
      </c>
      <c r="D73" t="s">
        <v>231</v>
      </c>
      <c r="E73" t="s">
        <v>221</v>
      </c>
      <c r="F73" t="s">
        <v>354</v>
      </c>
      <c r="G73" t="s">
        <v>281</v>
      </c>
      <c r="I73" s="25">
        <v>46121</v>
      </c>
      <c r="J73" s="12">
        <v>0</v>
      </c>
      <c r="K73" s="12">
        <v>0</v>
      </c>
      <c r="L73" s="12">
        <v>0</v>
      </c>
      <c r="M73" s="13">
        <v>0</v>
      </c>
      <c r="N73" s="13">
        <v>0</v>
      </c>
      <c r="O73" s="13">
        <f t="shared" ref="O73" si="5">+M73-N73</f>
        <v>0</v>
      </c>
      <c r="P73" s="9" t="s">
        <v>24</v>
      </c>
      <c r="Q73" s="13">
        <v>10</v>
      </c>
      <c r="R73" t="s">
        <v>260</v>
      </c>
      <c r="S73" s="9" t="s">
        <v>11</v>
      </c>
      <c r="T73" s="9"/>
      <c r="U73" s="9"/>
      <c r="V73" s="9" t="s">
        <v>197</v>
      </c>
      <c r="W73" s="9" t="s">
        <v>149</v>
      </c>
      <c r="X73" s="9" t="s">
        <v>122</v>
      </c>
      <c r="Y73" s="9" t="s">
        <v>152</v>
      </c>
      <c r="Z73" s="9" t="s">
        <v>161</v>
      </c>
      <c r="AA73" s="9" t="s">
        <v>161</v>
      </c>
      <c r="AB73" s="9" t="s">
        <v>355</v>
      </c>
    </row>
    <row r="74" spans="2:28" x14ac:dyDescent="0.3">
      <c r="B74">
        <f t="shared" si="4"/>
        <v>70</v>
      </c>
      <c r="D74" t="s">
        <v>233</v>
      </c>
      <c r="E74" t="s">
        <v>221</v>
      </c>
      <c r="F74" t="s">
        <v>356</v>
      </c>
      <c r="G74" t="s">
        <v>281</v>
      </c>
      <c r="I74" s="25">
        <v>46121</v>
      </c>
      <c r="J74" s="12">
        <v>0</v>
      </c>
      <c r="K74" s="12">
        <v>0</v>
      </c>
      <c r="L74" s="12">
        <v>0</v>
      </c>
      <c r="M74" s="13">
        <v>0</v>
      </c>
      <c r="N74" s="13">
        <v>0</v>
      </c>
      <c r="O74" s="13">
        <f t="shared" ref="O74:O75" si="6">+M74-N74</f>
        <v>0</v>
      </c>
      <c r="P74" s="9" t="s">
        <v>24</v>
      </c>
      <c r="Q74" s="13">
        <v>10</v>
      </c>
      <c r="R74" t="s">
        <v>260</v>
      </c>
      <c r="S74" s="9" t="s">
        <v>11</v>
      </c>
      <c r="T74" s="9"/>
      <c r="U74" s="9"/>
      <c r="V74" s="9" t="s">
        <v>197</v>
      </c>
      <c r="W74" s="9" t="s">
        <v>149</v>
      </c>
      <c r="X74" s="9" t="s">
        <v>122</v>
      </c>
      <c r="Y74" s="9" t="s">
        <v>152</v>
      </c>
      <c r="Z74" s="9" t="s">
        <v>161</v>
      </c>
      <c r="AA74" s="9" t="s">
        <v>161</v>
      </c>
      <c r="AB74" s="9" t="s">
        <v>355</v>
      </c>
    </row>
    <row r="75" spans="2:28" x14ac:dyDescent="0.3">
      <c r="B75">
        <f t="shared" si="4"/>
        <v>71</v>
      </c>
      <c r="D75" t="s">
        <v>216</v>
      </c>
      <c r="E75" t="s">
        <v>221</v>
      </c>
      <c r="F75" t="s">
        <v>357</v>
      </c>
      <c r="G75" t="s">
        <v>281</v>
      </c>
      <c r="I75" s="25">
        <v>46121</v>
      </c>
      <c r="J75" s="12">
        <v>0</v>
      </c>
      <c r="K75" s="12">
        <v>0</v>
      </c>
      <c r="L75" s="12">
        <v>0</v>
      </c>
      <c r="M75" s="13">
        <v>0</v>
      </c>
      <c r="N75" s="13">
        <v>0</v>
      </c>
      <c r="O75" s="13">
        <f t="shared" si="6"/>
        <v>0</v>
      </c>
      <c r="P75" s="9" t="s">
        <v>24</v>
      </c>
      <c r="Q75" s="13">
        <v>5</v>
      </c>
      <c r="R75" t="s">
        <v>260</v>
      </c>
      <c r="S75" s="9" t="s">
        <v>11</v>
      </c>
      <c r="T75" s="9"/>
      <c r="U75" s="9"/>
      <c r="V75" s="9" t="s">
        <v>197</v>
      </c>
      <c r="W75" s="9" t="s">
        <v>149</v>
      </c>
      <c r="X75" s="9" t="s">
        <v>122</v>
      </c>
      <c r="Y75" s="9" t="s">
        <v>152</v>
      </c>
      <c r="Z75" s="9" t="s">
        <v>161</v>
      </c>
      <c r="AA75" s="9" t="s">
        <v>161</v>
      </c>
      <c r="AB75" s="9" t="s">
        <v>355</v>
      </c>
    </row>
    <row r="76" spans="2:28" x14ac:dyDescent="0.3">
      <c r="B76">
        <f t="shared" si="4"/>
        <v>72</v>
      </c>
      <c r="D76" t="s">
        <v>233</v>
      </c>
      <c r="E76" t="s">
        <v>221</v>
      </c>
      <c r="F76" t="s">
        <v>358</v>
      </c>
      <c r="G76" t="s">
        <v>281</v>
      </c>
      <c r="I76" s="25">
        <v>46123</v>
      </c>
      <c r="J76" s="12">
        <v>0</v>
      </c>
      <c r="K76" s="12">
        <v>0</v>
      </c>
      <c r="L76" s="12">
        <v>0</v>
      </c>
      <c r="M76" s="13">
        <v>0</v>
      </c>
      <c r="N76" s="13">
        <v>0</v>
      </c>
      <c r="O76" s="13">
        <f t="shared" ref="O76:O79" si="7">+M76-N76</f>
        <v>0</v>
      </c>
      <c r="P76" s="9" t="s">
        <v>24</v>
      </c>
      <c r="Q76" s="13">
        <v>10</v>
      </c>
      <c r="R76" t="s">
        <v>260</v>
      </c>
      <c r="S76" s="9" t="s">
        <v>11</v>
      </c>
      <c r="T76" s="9"/>
      <c r="U76" s="9"/>
      <c r="V76" s="9" t="s">
        <v>197</v>
      </c>
      <c r="W76" s="9" t="s">
        <v>149</v>
      </c>
      <c r="X76" s="9" t="s">
        <v>122</v>
      </c>
      <c r="Y76" s="9" t="s">
        <v>152</v>
      </c>
      <c r="Z76" s="9" t="s">
        <v>161</v>
      </c>
      <c r="AA76" s="9" t="s">
        <v>161</v>
      </c>
      <c r="AB76" s="9" t="s">
        <v>362</v>
      </c>
    </row>
    <row r="77" spans="2:28" x14ac:dyDescent="0.3">
      <c r="B77">
        <f t="shared" si="4"/>
        <v>73</v>
      </c>
      <c r="D77" t="s">
        <v>235</v>
      </c>
      <c r="E77" t="s">
        <v>221</v>
      </c>
      <c r="F77" t="s">
        <v>359</v>
      </c>
      <c r="G77" t="s">
        <v>281</v>
      </c>
      <c r="I77" s="25">
        <v>46123</v>
      </c>
      <c r="J77" s="12">
        <v>0</v>
      </c>
      <c r="K77" s="12">
        <v>0</v>
      </c>
      <c r="L77" s="12">
        <v>0</v>
      </c>
      <c r="M77" s="13">
        <v>0</v>
      </c>
      <c r="N77" s="13">
        <v>0</v>
      </c>
      <c r="O77" s="13">
        <f t="shared" si="7"/>
        <v>0</v>
      </c>
      <c r="P77" s="9" t="s">
        <v>24</v>
      </c>
      <c r="Q77" s="13">
        <v>10</v>
      </c>
      <c r="R77" t="s">
        <v>260</v>
      </c>
      <c r="S77" s="9" t="s">
        <v>11</v>
      </c>
      <c r="T77" s="9"/>
      <c r="U77" s="9"/>
      <c r="V77" s="9" t="s">
        <v>197</v>
      </c>
      <c r="W77" s="9" t="s">
        <v>149</v>
      </c>
      <c r="X77" s="9" t="s">
        <v>122</v>
      </c>
      <c r="Y77" s="9" t="s">
        <v>152</v>
      </c>
      <c r="Z77" s="9" t="s">
        <v>161</v>
      </c>
      <c r="AA77" s="9" t="s">
        <v>161</v>
      </c>
      <c r="AB77" s="9" t="s">
        <v>362</v>
      </c>
    </row>
    <row r="78" spans="2:28" x14ac:dyDescent="0.3">
      <c r="B78">
        <f t="shared" si="4"/>
        <v>74</v>
      </c>
      <c r="D78" t="s">
        <v>231</v>
      </c>
      <c r="E78" t="s">
        <v>221</v>
      </c>
      <c r="F78" t="s">
        <v>360</v>
      </c>
      <c r="G78" t="s">
        <v>281</v>
      </c>
      <c r="I78" s="25">
        <v>46123</v>
      </c>
      <c r="J78" s="12">
        <v>0</v>
      </c>
      <c r="K78" s="12">
        <v>0</v>
      </c>
      <c r="L78" s="12">
        <v>0</v>
      </c>
      <c r="M78" s="13">
        <v>0</v>
      </c>
      <c r="N78" s="13">
        <v>0</v>
      </c>
      <c r="O78" s="13">
        <f t="shared" si="7"/>
        <v>0</v>
      </c>
      <c r="P78" s="9" t="s">
        <v>24</v>
      </c>
      <c r="Q78" s="13">
        <v>10</v>
      </c>
      <c r="R78" t="s">
        <v>260</v>
      </c>
      <c r="S78" s="9" t="s">
        <v>11</v>
      </c>
      <c r="T78" s="9"/>
      <c r="U78" s="9"/>
      <c r="V78" s="9" t="s">
        <v>197</v>
      </c>
      <c r="W78" s="9" t="s">
        <v>149</v>
      </c>
      <c r="X78" s="9" t="s">
        <v>122</v>
      </c>
      <c r="Y78" s="9" t="s">
        <v>152</v>
      </c>
      <c r="Z78" s="9" t="s">
        <v>161</v>
      </c>
      <c r="AA78" s="9" t="s">
        <v>161</v>
      </c>
      <c r="AB78" s="9" t="s">
        <v>362</v>
      </c>
    </row>
    <row r="79" spans="2:28" x14ac:dyDescent="0.3">
      <c r="B79">
        <f t="shared" si="4"/>
        <v>75</v>
      </c>
      <c r="D79" t="s">
        <v>231</v>
      </c>
      <c r="E79" t="s">
        <v>221</v>
      </c>
      <c r="F79" t="s">
        <v>361</v>
      </c>
      <c r="G79" t="s">
        <v>281</v>
      </c>
      <c r="I79" s="25">
        <v>46123</v>
      </c>
      <c r="J79" s="12">
        <v>0</v>
      </c>
      <c r="K79" s="12">
        <v>0</v>
      </c>
      <c r="L79" s="12">
        <v>0</v>
      </c>
      <c r="M79" s="13">
        <v>0</v>
      </c>
      <c r="N79" s="13">
        <v>0</v>
      </c>
      <c r="O79" s="13">
        <f t="shared" si="7"/>
        <v>0</v>
      </c>
      <c r="P79" s="9" t="s">
        <v>24</v>
      </c>
      <c r="Q79" s="13">
        <v>4</v>
      </c>
      <c r="R79" t="s">
        <v>260</v>
      </c>
      <c r="S79" s="9" t="s">
        <v>11</v>
      </c>
      <c r="T79" s="9"/>
      <c r="U79" s="9"/>
      <c r="V79" s="9" t="s">
        <v>197</v>
      </c>
      <c r="W79" s="9" t="s">
        <v>149</v>
      </c>
      <c r="X79" s="9" t="s">
        <v>122</v>
      </c>
      <c r="Y79" s="9" t="s">
        <v>152</v>
      </c>
      <c r="Z79" s="9" t="s">
        <v>161</v>
      </c>
      <c r="AA79" s="9" t="s">
        <v>161</v>
      </c>
      <c r="AB79" s="9" t="s">
        <v>362</v>
      </c>
    </row>
    <row r="80" spans="2:28" x14ac:dyDescent="0.3">
      <c r="B80">
        <f t="shared" si="4"/>
        <v>76</v>
      </c>
      <c r="D80" t="s">
        <v>229</v>
      </c>
      <c r="E80" t="s">
        <v>221</v>
      </c>
      <c r="F80" t="s">
        <v>363</v>
      </c>
      <c r="G80" t="s">
        <v>281</v>
      </c>
      <c r="I80" s="25">
        <v>46123</v>
      </c>
      <c r="J80" s="12">
        <v>0</v>
      </c>
      <c r="K80" s="12">
        <v>0</v>
      </c>
      <c r="L80" s="12">
        <v>0</v>
      </c>
      <c r="M80" s="13">
        <v>0</v>
      </c>
      <c r="N80" s="13">
        <v>0</v>
      </c>
      <c r="O80" s="13">
        <f t="shared" si="2"/>
        <v>0</v>
      </c>
      <c r="P80" s="9" t="s">
        <v>24</v>
      </c>
      <c r="Q80" s="13">
        <v>10</v>
      </c>
      <c r="R80" t="s">
        <v>260</v>
      </c>
      <c r="S80" s="9" t="s">
        <v>11</v>
      </c>
      <c r="T80" s="9"/>
      <c r="U80" s="9"/>
      <c r="V80" s="9" t="s">
        <v>76</v>
      </c>
      <c r="W80" s="9" t="s">
        <v>146</v>
      </c>
      <c r="X80" s="9" t="s">
        <v>90</v>
      </c>
      <c r="Y80" s="9" t="s">
        <v>150</v>
      </c>
      <c r="Z80" s="9" t="s">
        <v>161</v>
      </c>
      <c r="AA80" s="9" t="s">
        <v>161</v>
      </c>
      <c r="AB80" t="s">
        <v>353</v>
      </c>
    </row>
    <row r="81" spans="2:28" x14ac:dyDescent="0.3">
      <c r="B81">
        <f t="shared" si="4"/>
        <v>77</v>
      </c>
      <c r="D81" t="s">
        <v>235</v>
      </c>
      <c r="E81" t="s">
        <v>221</v>
      </c>
      <c r="F81" t="s">
        <v>364</v>
      </c>
      <c r="G81" t="s">
        <v>281</v>
      </c>
      <c r="I81" s="25">
        <v>46123</v>
      </c>
      <c r="J81" s="12">
        <v>0</v>
      </c>
      <c r="K81" s="12">
        <v>0</v>
      </c>
      <c r="L81" s="12">
        <v>0</v>
      </c>
      <c r="M81" s="13">
        <v>0</v>
      </c>
      <c r="N81" s="13">
        <v>0</v>
      </c>
      <c r="O81" s="13">
        <f t="shared" ref="O81" si="8">+M81-N81</f>
        <v>0</v>
      </c>
      <c r="P81" s="9" t="s">
        <v>24</v>
      </c>
      <c r="Q81" s="13">
        <v>10</v>
      </c>
      <c r="R81" t="s">
        <v>260</v>
      </c>
      <c r="S81" s="9" t="s">
        <v>11</v>
      </c>
      <c r="T81" s="9"/>
      <c r="U81" s="9"/>
      <c r="V81" s="9" t="s">
        <v>76</v>
      </c>
      <c r="W81" s="9" t="s">
        <v>146</v>
      </c>
      <c r="X81" s="9" t="s">
        <v>90</v>
      </c>
      <c r="Y81" s="9" t="s">
        <v>150</v>
      </c>
      <c r="Z81" s="9" t="s">
        <v>161</v>
      </c>
      <c r="AA81" s="9" t="s">
        <v>161</v>
      </c>
      <c r="AB81" t="s">
        <v>353</v>
      </c>
    </row>
    <row r="82" spans="2:28" x14ac:dyDescent="0.3">
      <c r="B82">
        <f t="shared" si="4"/>
        <v>78</v>
      </c>
      <c r="D82" t="s">
        <v>216</v>
      </c>
      <c r="E82" t="s">
        <v>221</v>
      </c>
      <c r="F82" t="s">
        <v>365</v>
      </c>
      <c r="G82" t="s">
        <v>281</v>
      </c>
      <c r="I82" s="25">
        <v>46125</v>
      </c>
      <c r="J82" s="12">
        <v>0</v>
      </c>
      <c r="K82" s="12">
        <v>0</v>
      </c>
      <c r="L82" s="12">
        <v>0</v>
      </c>
      <c r="M82" s="13">
        <v>0</v>
      </c>
      <c r="N82" s="13">
        <v>0</v>
      </c>
      <c r="O82" s="13">
        <f t="shared" ref="O82:O84" si="9">+M82-N82</f>
        <v>0</v>
      </c>
      <c r="P82" s="9" t="s">
        <v>24</v>
      </c>
      <c r="Q82" s="13">
        <v>4</v>
      </c>
      <c r="R82" t="s">
        <v>260</v>
      </c>
      <c r="S82" s="9" t="s">
        <v>11</v>
      </c>
      <c r="T82" s="9"/>
      <c r="U82" s="9"/>
      <c r="V82" s="9" t="s">
        <v>197</v>
      </c>
      <c r="W82" s="9" t="s">
        <v>149</v>
      </c>
      <c r="X82" s="9" t="s">
        <v>122</v>
      </c>
      <c r="Y82" s="9" t="s">
        <v>154</v>
      </c>
      <c r="Z82" s="9" t="s">
        <v>161</v>
      </c>
      <c r="AA82" s="9" t="s">
        <v>161</v>
      </c>
      <c r="AB82" s="9" t="s">
        <v>369</v>
      </c>
    </row>
    <row r="83" spans="2:28" x14ac:dyDescent="0.3">
      <c r="B83">
        <f t="shared" si="4"/>
        <v>79</v>
      </c>
      <c r="D83" t="s">
        <v>368</v>
      </c>
      <c r="E83" t="s">
        <v>221</v>
      </c>
      <c r="F83" t="s">
        <v>366</v>
      </c>
      <c r="G83" t="s">
        <v>281</v>
      </c>
      <c r="I83" s="25">
        <v>46125</v>
      </c>
      <c r="J83" s="12">
        <v>0</v>
      </c>
      <c r="K83" s="12">
        <v>0</v>
      </c>
      <c r="L83" s="12">
        <v>0</v>
      </c>
      <c r="M83" s="13">
        <v>0</v>
      </c>
      <c r="N83" s="13">
        <v>0</v>
      </c>
      <c r="O83" s="13">
        <f t="shared" si="9"/>
        <v>0</v>
      </c>
      <c r="P83" s="9" t="s">
        <v>24</v>
      </c>
      <c r="Q83" s="13">
        <v>10</v>
      </c>
      <c r="R83" t="s">
        <v>260</v>
      </c>
      <c r="S83" s="9" t="s">
        <v>11</v>
      </c>
      <c r="T83" s="9"/>
      <c r="U83" s="9"/>
      <c r="V83" s="9" t="s">
        <v>197</v>
      </c>
      <c r="W83" s="9" t="s">
        <v>149</v>
      </c>
      <c r="X83" s="9" t="s">
        <v>122</v>
      </c>
      <c r="Y83" s="9" t="s">
        <v>154</v>
      </c>
      <c r="Z83" s="9" t="s">
        <v>161</v>
      </c>
      <c r="AA83" s="9" t="s">
        <v>161</v>
      </c>
      <c r="AB83" s="9" t="s">
        <v>369</v>
      </c>
    </row>
    <row r="84" spans="2:28" x14ac:dyDescent="0.3">
      <c r="B84">
        <f t="shared" si="4"/>
        <v>80</v>
      </c>
      <c r="D84" t="s">
        <v>235</v>
      </c>
      <c r="E84" t="s">
        <v>221</v>
      </c>
      <c r="F84" t="s">
        <v>367</v>
      </c>
      <c r="G84" t="s">
        <v>281</v>
      </c>
      <c r="I84" s="25">
        <v>46125</v>
      </c>
      <c r="J84" s="12">
        <v>0</v>
      </c>
      <c r="K84" s="12">
        <v>0</v>
      </c>
      <c r="L84" s="12">
        <v>0</v>
      </c>
      <c r="M84" s="13">
        <v>0</v>
      </c>
      <c r="N84" s="13">
        <v>0</v>
      </c>
      <c r="O84" s="13">
        <f t="shared" si="9"/>
        <v>0</v>
      </c>
      <c r="P84" s="9" t="s">
        <v>24</v>
      </c>
      <c r="Q84" s="13">
        <v>10</v>
      </c>
      <c r="R84" t="s">
        <v>260</v>
      </c>
      <c r="S84" s="9" t="s">
        <v>11</v>
      </c>
      <c r="T84" s="9"/>
      <c r="U84" s="9"/>
      <c r="V84" s="9" t="s">
        <v>197</v>
      </c>
      <c r="W84" s="9" t="s">
        <v>149</v>
      </c>
      <c r="X84" s="9" t="s">
        <v>122</v>
      </c>
      <c r="Y84" s="9" t="s">
        <v>154</v>
      </c>
      <c r="Z84" s="9" t="s">
        <v>161</v>
      </c>
      <c r="AA84" s="9" t="s">
        <v>161</v>
      </c>
      <c r="AB84" s="9" t="s">
        <v>369</v>
      </c>
    </row>
    <row r="85" spans="2:28" x14ac:dyDescent="0.3">
      <c r="B85">
        <f t="shared" si="4"/>
        <v>81</v>
      </c>
      <c r="D85" t="s">
        <v>223</v>
      </c>
      <c r="E85" t="s">
        <v>221</v>
      </c>
      <c r="F85" t="s">
        <v>370</v>
      </c>
      <c r="G85" t="s">
        <v>281</v>
      </c>
      <c r="I85" s="25">
        <v>46126</v>
      </c>
      <c r="J85" s="12">
        <v>0.57847222222222228</v>
      </c>
      <c r="K85" s="26" t="s">
        <v>375</v>
      </c>
      <c r="L85" s="26">
        <v>0.60486111111111107</v>
      </c>
      <c r="M85" s="13">
        <v>23300</v>
      </c>
      <c r="N85" s="13">
        <v>0</v>
      </c>
      <c r="O85" s="13">
        <v>23300</v>
      </c>
      <c r="P85" s="9" t="s">
        <v>21</v>
      </c>
      <c r="Q85" s="13">
        <v>10</v>
      </c>
      <c r="R85" t="s">
        <v>260</v>
      </c>
      <c r="S85" s="9" t="s">
        <v>11</v>
      </c>
      <c r="T85" s="9"/>
      <c r="U85" s="9"/>
      <c r="V85" s="9" t="s">
        <v>76</v>
      </c>
      <c r="W85" s="9" t="s">
        <v>146</v>
      </c>
      <c r="X85" s="9" t="s">
        <v>91</v>
      </c>
      <c r="Y85" s="9" t="s">
        <v>152</v>
      </c>
      <c r="Z85" s="9" t="s">
        <v>161</v>
      </c>
      <c r="AA85" s="9" t="s">
        <v>161</v>
      </c>
      <c r="AB85" t="s">
        <v>372</v>
      </c>
    </row>
    <row r="86" spans="2:28" x14ac:dyDescent="0.3">
      <c r="B86">
        <f t="shared" si="4"/>
        <v>82</v>
      </c>
      <c r="D86" t="s">
        <v>223</v>
      </c>
      <c r="E86" t="s">
        <v>221</v>
      </c>
      <c r="F86" t="s">
        <v>371</v>
      </c>
      <c r="G86" t="s">
        <v>281</v>
      </c>
      <c r="I86" s="25">
        <v>46126</v>
      </c>
      <c r="J86" s="12">
        <v>0.61041666666666672</v>
      </c>
      <c r="K86" s="12">
        <v>0.61458333333333337</v>
      </c>
      <c r="L86" s="12">
        <v>0.62638888888888888</v>
      </c>
      <c r="M86" s="13">
        <v>7160</v>
      </c>
      <c r="N86" s="13">
        <v>0</v>
      </c>
      <c r="O86" s="13">
        <f t="shared" ref="O86" si="10">+M86-N86</f>
        <v>7160</v>
      </c>
      <c r="P86" s="9" t="s">
        <v>21</v>
      </c>
      <c r="Q86" s="13">
        <v>4</v>
      </c>
      <c r="R86" t="s">
        <v>260</v>
      </c>
      <c r="S86" s="9" t="s">
        <v>11</v>
      </c>
      <c r="T86" s="9"/>
      <c r="U86" s="9"/>
      <c r="V86" s="9" t="s">
        <v>76</v>
      </c>
      <c r="W86" s="9" t="s">
        <v>146</v>
      </c>
      <c r="X86" s="9" t="s">
        <v>91</v>
      </c>
      <c r="Y86" s="9" t="s">
        <v>152</v>
      </c>
      <c r="Z86" s="9" t="s">
        <v>161</v>
      </c>
      <c r="AA86" s="9" t="s">
        <v>161</v>
      </c>
      <c r="AB86" t="s">
        <v>372</v>
      </c>
    </row>
    <row r="87" spans="2:28" x14ac:dyDescent="0.3">
      <c r="B87">
        <f t="shared" si="4"/>
        <v>83</v>
      </c>
      <c r="D87" t="s">
        <v>233</v>
      </c>
      <c r="E87" t="s">
        <v>221</v>
      </c>
      <c r="F87" t="s">
        <v>373</v>
      </c>
      <c r="G87" t="s">
        <v>281</v>
      </c>
      <c r="I87" s="25">
        <v>46126</v>
      </c>
      <c r="J87" s="12">
        <v>0</v>
      </c>
      <c r="K87" s="12">
        <v>0</v>
      </c>
      <c r="L87" s="12">
        <v>0</v>
      </c>
      <c r="M87" s="13">
        <v>0</v>
      </c>
      <c r="N87" s="13">
        <v>0</v>
      </c>
      <c r="O87" s="13">
        <f t="shared" ref="O87:O88" si="11">+M87-N87</f>
        <v>0</v>
      </c>
      <c r="P87" s="9" t="s">
        <v>24</v>
      </c>
      <c r="Q87" s="13">
        <v>4</v>
      </c>
      <c r="R87" t="s">
        <v>260</v>
      </c>
      <c r="S87" s="9" t="s">
        <v>11</v>
      </c>
      <c r="T87" s="9"/>
      <c r="U87" s="9"/>
      <c r="V87" s="9" t="s">
        <v>76</v>
      </c>
      <c r="W87" s="9" t="s">
        <v>146</v>
      </c>
      <c r="X87" s="9" t="s">
        <v>90</v>
      </c>
      <c r="Y87" s="9" t="s">
        <v>150</v>
      </c>
      <c r="Z87" s="9" t="s">
        <v>161</v>
      </c>
      <c r="AA87" s="9" t="s">
        <v>161</v>
      </c>
      <c r="AB87" t="s">
        <v>353</v>
      </c>
    </row>
    <row r="88" spans="2:28" x14ac:dyDescent="0.3">
      <c r="B88">
        <f t="shared" si="4"/>
        <v>84</v>
      </c>
      <c r="D88" t="s">
        <v>233</v>
      </c>
      <c r="E88" t="s">
        <v>221</v>
      </c>
      <c r="F88" t="s">
        <v>374</v>
      </c>
      <c r="G88" t="s">
        <v>281</v>
      </c>
      <c r="I88" s="25">
        <v>46126</v>
      </c>
      <c r="J88" s="12">
        <v>0</v>
      </c>
      <c r="K88" s="12">
        <v>0</v>
      </c>
      <c r="L88" s="12">
        <v>0</v>
      </c>
      <c r="M88" s="13">
        <v>0</v>
      </c>
      <c r="N88" s="13">
        <v>0</v>
      </c>
      <c r="O88" s="13">
        <f t="shared" si="11"/>
        <v>0</v>
      </c>
      <c r="P88" s="9" t="s">
        <v>24</v>
      </c>
      <c r="Q88" s="13">
        <v>10</v>
      </c>
      <c r="R88" t="s">
        <v>260</v>
      </c>
      <c r="S88" s="9" t="s">
        <v>11</v>
      </c>
      <c r="T88" s="9"/>
      <c r="U88" s="9"/>
      <c r="V88" s="9" t="s">
        <v>76</v>
      </c>
      <c r="W88" s="9" t="s">
        <v>146</v>
      </c>
      <c r="X88" s="9" t="s">
        <v>90</v>
      </c>
      <c r="Y88" s="9" t="s">
        <v>150</v>
      </c>
      <c r="Z88" s="9" t="s">
        <v>161</v>
      </c>
      <c r="AA88" s="9" t="s">
        <v>161</v>
      </c>
      <c r="AB88" t="s">
        <v>353</v>
      </c>
    </row>
    <row r="89" spans="2:28" x14ac:dyDescent="0.3">
      <c r="B89">
        <f t="shared" si="4"/>
        <v>85</v>
      </c>
      <c r="D89" t="s">
        <v>216</v>
      </c>
      <c r="E89" t="s">
        <v>221</v>
      </c>
      <c r="F89" t="s">
        <v>376</v>
      </c>
      <c r="G89" t="s">
        <v>281</v>
      </c>
      <c r="I89" s="25">
        <v>46127</v>
      </c>
      <c r="J89" s="12">
        <v>0.54583333333333328</v>
      </c>
      <c r="K89" s="12">
        <v>0.55625000000000002</v>
      </c>
      <c r="L89" s="12">
        <v>0.57361111111111107</v>
      </c>
      <c r="M89" s="13">
        <v>25900</v>
      </c>
      <c r="N89" s="13">
        <v>0</v>
      </c>
      <c r="O89" s="13">
        <f t="shared" si="2"/>
        <v>25900</v>
      </c>
      <c r="P89" s="9" t="s">
        <v>24</v>
      </c>
      <c r="Q89" s="13">
        <v>10</v>
      </c>
      <c r="R89" t="s">
        <v>260</v>
      </c>
      <c r="S89" s="9" t="s">
        <v>11</v>
      </c>
      <c r="T89" s="9"/>
      <c r="U89" s="9"/>
      <c r="V89" s="9" t="s">
        <v>197</v>
      </c>
      <c r="W89" s="9" t="s">
        <v>149</v>
      </c>
      <c r="X89" s="9" t="s">
        <v>122</v>
      </c>
      <c r="Y89" s="9" t="s">
        <v>154</v>
      </c>
      <c r="Z89" s="9" t="s">
        <v>161</v>
      </c>
      <c r="AA89" s="9" t="s">
        <v>161</v>
      </c>
      <c r="AB89" s="9" t="s">
        <v>383</v>
      </c>
    </row>
    <row r="90" spans="2:28" x14ac:dyDescent="0.3">
      <c r="B90">
        <f t="shared" si="4"/>
        <v>86</v>
      </c>
      <c r="D90" t="s">
        <v>251</v>
      </c>
      <c r="E90" t="s">
        <v>221</v>
      </c>
      <c r="F90" t="s">
        <v>377</v>
      </c>
      <c r="G90" t="s">
        <v>281</v>
      </c>
      <c r="I90" s="25">
        <v>46127</v>
      </c>
      <c r="J90" s="12">
        <v>0.625</v>
      </c>
      <c r="K90" s="12">
        <v>0.63194444444444442</v>
      </c>
      <c r="L90" s="12">
        <v>0.65416666666666667</v>
      </c>
      <c r="M90" s="13">
        <v>19360</v>
      </c>
      <c r="N90" s="13">
        <v>0</v>
      </c>
      <c r="O90" s="13">
        <f t="shared" si="2"/>
        <v>19360</v>
      </c>
      <c r="P90" s="9" t="s">
        <v>24</v>
      </c>
      <c r="Q90" s="13">
        <v>8</v>
      </c>
      <c r="R90" t="s">
        <v>260</v>
      </c>
      <c r="S90" s="9" t="s">
        <v>11</v>
      </c>
      <c r="T90" s="9"/>
      <c r="U90" s="9"/>
      <c r="V90" s="9" t="s">
        <v>197</v>
      </c>
      <c r="W90" s="9" t="s">
        <v>149</v>
      </c>
      <c r="X90" s="9" t="s">
        <v>122</v>
      </c>
      <c r="Y90" s="9" t="s">
        <v>154</v>
      </c>
      <c r="Z90" s="9" t="s">
        <v>161</v>
      </c>
      <c r="AA90" s="9" t="s">
        <v>161</v>
      </c>
      <c r="AB90" s="9" t="s">
        <v>383</v>
      </c>
    </row>
    <row r="91" spans="2:28" x14ac:dyDescent="0.3">
      <c r="B91">
        <f t="shared" si="4"/>
        <v>87</v>
      </c>
      <c r="D91" t="s">
        <v>235</v>
      </c>
      <c r="E91" t="s">
        <v>221</v>
      </c>
      <c r="F91" t="s">
        <v>378</v>
      </c>
      <c r="G91" t="s">
        <v>281</v>
      </c>
      <c r="I91" s="25">
        <v>46127</v>
      </c>
      <c r="J91" s="12">
        <v>0.57708333333333328</v>
      </c>
      <c r="K91" s="12">
        <v>0.59166666666666667</v>
      </c>
      <c r="L91" s="12">
        <v>0.61388888888888893</v>
      </c>
      <c r="M91" s="13">
        <v>26060</v>
      </c>
      <c r="N91" s="13">
        <v>0</v>
      </c>
      <c r="O91" s="13">
        <f t="shared" si="2"/>
        <v>26060</v>
      </c>
      <c r="P91" s="9" t="s">
        <v>24</v>
      </c>
      <c r="Q91" s="13">
        <v>10</v>
      </c>
      <c r="R91" t="s">
        <v>260</v>
      </c>
      <c r="S91" s="9" t="s">
        <v>11</v>
      </c>
      <c r="T91" s="9"/>
      <c r="U91" s="9"/>
      <c r="V91" s="9" t="s">
        <v>197</v>
      </c>
      <c r="W91" s="9" t="s">
        <v>149</v>
      </c>
      <c r="X91" s="9" t="s">
        <v>122</v>
      </c>
      <c r="Y91" s="9" t="s">
        <v>154</v>
      </c>
      <c r="Z91" s="9" t="s">
        <v>161</v>
      </c>
      <c r="AA91" s="9" t="s">
        <v>161</v>
      </c>
      <c r="AB91" s="9" t="s">
        <v>383</v>
      </c>
    </row>
    <row r="92" spans="2:28" x14ac:dyDescent="0.3">
      <c r="B92">
        <f t="shared" si="4"/>
        <v>88</v>
      </c>
      <c r="D92" t="s">
        <v>229</v>
      </c>
      <c r="E92" t="s">
        <v>221</v>
      </c>
      <c r="F92" t="s">
        <v>379</v>
      </c>
      <c r="G92" t="s">
        <v>281</v>
      </c>
      <c r="I92" s="25">
        <v>46127</v>
      </c>
      <c r="J92" s="12">
        <v>0.66180555555555554</v>
      </c>
      <c r="K92" s="12">
        <v>0.67222222222222228</v>
      </c>
      <c r="L92" s="12">
        <v>0.68055555555555558</v>
      </c>
      <c r="M92" s="13">
        <v>3120</v>
      </c>
      <c r="N92" s="13">
        <v>0</v>
      </c>
      <c r="O92" s="13">
        <f t="shared" si="2"/>
        <v>3120</v>
      </c>
      <c r="P92" s="9" t="s">
        <v>24</v>
      </c>
      <c r="Q92" s="13">
        <v>2</v>
      </c>
      <c r="R92" t="s">
        <v>260</v>
      </c>
      <c r="S92" s="9" t="s">
        <v>11</v>
      </c>
      <c r="T92" s="9"/>
      <c r="U92" s="9"/>
      <c r="V92" s="9" t="s">
        <v>197</v>
      </c>
      <c r="W92" s="9" t="s">
        <v>149</v>
      </c>
      <c r="X92" s="9" t="s">
        <v>122</v>
      </c>
      <c r="Y92" s="9" t="s">
        <v>154</v>
      </c>
      <c r="Z92" s="9" t="s">
        <v>161</v>
      </c>
      <c r="AA92" s="9" t="s">
        <v>161</v>
      </c>
      <c r="AB92" s="9" t="s">
        <v>383</v>
      </c>
    </row>
    <row r="93" spans="2:28" x14ac:dyDescent="0.3">
      <c r="B93">
        <f t="shared" si="4"/>
        <v>89</v>
      </c>
      <c r="D93" t="s">
        <v>368</v>
      </c>
      <c r="E93" t="s">
        <v>221</v>
      </c>
      <c r="F93" t="s">
        <v>380</v>
      </c>
      <c r="G93" t="s">
        <v>281</v>
      </c>
      <c r="I93" s="25">
        <v>46127</v>
      </c>
      <c r="J93" s="12">
        <v>0.79097222222222219</v>
      </c>
      <c r="K93" s="12">
        <v>0.80208333333333337</v>
      </c>
      <c r="L93" s="12">
        <v>0.83680555555555558</v>
      </c>
      <c r="M93" s="13">
        <v>24770</v>
      </c>
      <c r="N93" s="13">
        <v>0</v>
      </c>
      <c r="O93" s="13">
        <f t="shared" si="2"/>
        <v>24770</v>
      </c>
      <c r="P93" s="9" t="s">
        <v>24</v>
      </c>
      <c r="Q93" s="13">
        <v>10</v>
      </c>
      <c r="R93" t="s">
        <v>260</v>
      </c>
      <c r="S93" s="9" t="s">
        <v>11</v>
      </c>
      <c r="T93" s="9"/>
      <c r="U93" s="9"/>
      <c r="V93" s="9" t="s">
        <v>197</v>
      </c>
      <c r="W93" s="9" t="s">
        <v>149</v>
      </c>
      <c r="X93" s="9" t="s">
        <v>122</v>
      </c>
      <c r="Y93" s="9" t="s">
        <v>154</v>
      </c>
      <c r="Z93" s="9" t="s">
        <v>161</v>
      </c>
      <c r="AA93" s="9" t="s">
        <v>161</v>
      </c>
      <c r="AB93" s="9" t="s">
        <v>383</v>
      </c>
    </row>
    <row r="94" spans="2:28" x14ac:dyDescent="0.3">
      <c r="B94">
        <f t="shared" si="4"/>
        <v>90</v>
      </c>
      <c r="D94" t="s">
        <v>229</v>
      </c>
      <c r="E94" t="s">
        <v>221</v>
      </c>
      <c r="F94" t="s">
        <v>381</v>
      </c>
      <c r="G94" t="s">
        <v>281</v>
      </c>
      <c r="I94" s="25">
        <v>46127</v>
      </c>
      <c r="J94" s="12">
        <v>0.83680555555555558</v>
      </c>
      <c r="K94" s="12">
        <v>0.84583333333333333</v>
      </c>
      <c r="L94" s="12">
        <v>0.86111111111111116</v>
      </c>
      <c r="M94" s="13">
        <v>20640</v>
      </c>
      <c r="N94" s="13">
        <v>0</v>
      </c>
      <c r="O94" s="13">
        <f t="shared" si="2"/>
        <v>20640</v>
      </c>
      <c r="P94" s="9" t="s">
        <v>24</v>
      </c>
      <c r="Q94" s="13">
        <v>10</v>
      </c>
      <c r="R94" t="s">
        <v>260</v>
      </c>
      <c r="S94" s="9" t="s">
        <v>11</v>
      </c>
      <c r="T94" s="9"/>
      <c r="U94" s="9"/>
      <c r="V94" s="9" t="s">
        <v>197</v>
      </c>
      <c r="W94" s="9" t="s">
        <v>149</v>
      </c>
      <c r="X94" s="9" t="s">
        <v>122</v>
      </c>
      <c r="Y94" s="9" t="s">
        <v>154</v>
      </c>
      <c r="Z94" s="9" t="s">
        <v>161</v>
      </c>
      <c r="AA94" s="9" t="s">
        <v>161</v>
      </c>
      <c r="AB94" s="9" t="s">
        <v>383</v>
      </c>
    </row>
    <row r="95" spans="2:28" x14ac:dyDescent="0.3">
      <c r="B95">
        <f t="shared" si="4"/>
        <v>91</v>
      </c>
      <c r="D95" t="s">
        <v>231</v>
      </c>
      <c r="E95" t="s">
        <v>221</v>
      </c>
      <c r="F95" t="s">
        <v>382</v>
      </c>
      <c r="G95" t="s">
        <v>281</v>
      </c>
      <c r="I95" s="25">
        <v>46127</v>
      </c>
      <c r="J95" s="12">
        <v>0.78611111111111109</v>
      </c>
      <c r="K95" s="12">
        <v>0.79374999999999996</v>
      </c>
      <c r="L95" s="12">
        <v>0.82708333333333328</v>
      </c>
      <c r="M95" s="13">
        <v>24340</v>
      </c>
      <c r="N95" s="13">
        <v>0</v>
      </c>
      <c r="O95" s="13">
        <f t="shared" si="2"/>
        <v>24340</v>
      </c>
      <c r="P95" s="9" t="s">
        <v>24</v>
      </c>
      <c r="Q95" s="13">
        <v>10</v>
      </c>
      <c r="R95" t="s">
        <v>260</v>
      </c>
      <c r="S95" s="9" t="s">
        <v>11</v>
      </c>
      <c r="T95" s="9"/>
      <c r="U95" s="9"/>
      <c r="V95" s="9" t="s">
        <v>197</v>
      </c>
      <c r="W95" s="9" t="s">
        <v>149</v>
      </c>
      <c r="X95" s="9" t="s">
        <v>122</v>
      </c>
      <c r="Y95" s="9" t="s">
        <v>154</v>
      </c>
      <c r="Z95" s="9" t="s">
        <v>161</v>
      </c>
      <c r="AA95" s="9" t="s">
        <v>161</v>
      </c>
      <c r="AB95" s="9" t="s">
        <v>383</v>
      </c>
    </row>
    <row r="96" spans="2:28" x14ac:dyDescent="0.3">
      <c r="B96">
        <f t="shared" si="4"/>
        <v>92</v>
      </c>
      <c r="D96" t="s">
        <v>233</v>
      </c>
      <c r="E96" t="s">
        <v>221</v>
      </c>
      <c r="F96" t="s">
        <v>384</v>
      </c>
      <c r="G96" t="s">
        <v>281</v>
      </c>
      <c r="I96" s="25">
        <v>46128</v>
      </c>
      <c r="J96" s="12">
        <v>0</v>
      </c>
      <c r="K96" s="12">
        <v>0</v>
      </c>
      <c r="L96" s="12">
        <v>0</v>
      </c>
      <c r="M96" s="13">
        <v>0</v>
      </c>
      <c r="N96" s="13">
        <v>0</v>
      </c>
      <c r="O96" s="13">
        <f t="shared" si="2"/>
        <v>0</v>
      </c>
      <c r="P96" s="9" t="s">
        <v>24</v>
      </c>
      <c r="Q96" s="13">
        <v>6</v>
      </c>
      <c r="R96" t="s">
        <v>260</v>
      </c>
      <c r="S96" s="9" t="s">
        <v>11</v>
      </c>
      <c r="T96" s="9"/>
      <c r="U96" s="9"/>
      <c r="V96" s="9" t="s">
        <v>197</v>
      </c>
      <c r="W96" s="9" t="s">
        <v>149</v>
      </c>
      <c r="X96" s="9" t="s">
        <v>122</v>
      </c>
      <c r="Y96" s="9" t="s">
        <v>154</v>
      </c>
      <c r="Z96" s="9" t="s">
        <v>161</v>
      </c>
      <c r="AA96" s="9" t="s">
        <v>161</v>
      </c>
      <c r="AB96" s="9" t="s">
        <v>388</v>
      </c>
    </row>
    <row r="97" spans="2:28" x14ac:dyDescent="0.3">
      <c r="B97">
        <f t="shared" si="4"/>
        <v>93</v>
      </c>
      <c r="D97" t="s">
        <v>385</v>
      </c>
      <c r="E97" t="s">
        <v>221</v>
      </c>
      <c r="F97" t="s">
        <v>386</v>
      </c>
      <c r="G97" t="s">
        <v>281</v>
      </c>
      <c r="I97" s="25">
        <v>46128</v>
      </c>
      <c r="J97" s="12">
        <v>0</v>
      </c>
      <c r="K97" s="12">
        <v>0</v>
      </c>
      <c r="L97" s="12">
        <v>0</v>
      </c>
      <c r="M97" s="13">
        <v>0</v>
      </c>
      <c r="N97" s="13">
        <v>0</v>
      </c>
      <c r="O97" s="13">
        <f t="shared" si="2"/>
        <v>0</v>
      </c>
      <c r="P97" s="9" t="s">
        <v>24</v>
      </c>
      <c r="Q97" s="13">
        <v>10</v>
      </c>
      <c r="R97" t="s">
        <v>260</v>
      </c>
      <c r="S97" s="9" t="s">
        <v>11</v>
      </c>
      <c r="T97" s="9"/>
      <c r="U97" s="9"/>
      <c r="V97" s="9" t="s">
        <v>197</v>
      </c>
      <c r="W97" s="9" t="s">
        <v>149</v>
      </c>
      <c r="X97" s="9" t="s">
        <v>122</v>
      </c>
      <c r="Y97" s="9" t="s">
        <v>154</v>
      </c>
      <c r="Z97" s="9" t="s">
        <v>161</v>
      </c>
      <c r="AA97" s="9" t="s">
        <v>161</v>
      </c>
      <c r="AB97" s="9" t="s">
        <v>388</v>
      </c>
    </row>
    <row r="98" spans="2:28" x14ac:dyDescent="0.3">
      <c r="B98">
        <f t="shared" si="4"/>
        <v>94</v>
      </c>
      <c r="D98" t="s">
        <v>251</v>
      </c>
      <c r="E98" t="s">
        <v>221</v>
      </c>
      <c r="F98" t="s">
        <v>387</v>
      </c>
      <c r="G98" t="s">
        <v>281</v>
      </c>
      <c r="I98" s="25">
        <v>46128</v>
      </c>
      <c r="J98" s="12">
        <v>0</v>
      </c>
      <c r="K98" s="12">
        <v>0</v>
      </c>
      <c r="L98" s="12">
        <v>0</v>
      </c>
      <c r="M98" s="13">
        <v>0</v>
      </c>
      <c r="N98" s="13">
        <v>0</v>
      </c>
      <c r="O98" s="13">
        <f t="shared" si="2"/>
        <v>0</v>
      </c>
      <c r="P98" s="9" t="s">
        <v>24</v>
      </c>
      <c r="Q98" s="13">
        <v>10</v>
      </c>
      <c r="R98" t="s">
        <v>260</v>
      </c>
      <c r="S98" s="9" t="s">
        <v>11</v>
      </c>
      <c r="T98" s="9"/>
      <c r="U98" s="9"/>
      <c r="V98" s="9" t="s">
        <v>197</v>
      </c>
      <c r="W98" s="9" t="s">
        <v>149</v>
      </c>
      <c r="X98" s="9" t="s">
        <v>122</v>
      </c>
      <c r="Y98" s="9" t="s">
        <v>154</v>
      </c>
      <c r="Z98" s="9" t="s">
        <v>161</v>
      </c>
      <c r="AA98" s="9" t="s">
        <v>161</v>
      </c>
      <c r="AB98" s="9" t="s">
        <v>388</v>
      </c>
    </row>
    <row r="99" spans="2:28" x14ac:dyDescent="0.3">
      <c r="B99">
        <f t="shared" si="4"/>
        <v>95</v>
      </c>
      <c r="D99" t="s">
        <v>231</v>
      </c>
      <c r="E99" t="s">
        <v>221</v>
      </c>
      <c r="F99" t="s">
        <v>389</v>
      </c>
      <c r="G99" t="s">
        <v>281</v>
      </c>
      <c r="I99" s="25">
        <v>46129</v>
      </c>
      <c r="J99" s="12">
        <v>0</v>
      </c>
      <c r="K99" s="12">
        <v>0</v>
      </c>
      <c r="L99" s="12">
        <v>0</v>
      </c>
      <c r="M99" s="13">
        <v>0</v>
      </c>
      <c r="N99" s="13">
        <v>0</v>
      </c>
      <c r="O99" s="13">
        <f t="shared" si="2"/>
        <v>0</v>
      </c>
      <c r="P99" s="9" t="s">
        <v>23</v>
      </c>
      <c r="Q99" s="13">
        <v>8</v>
      </c>
      <c r="R99" t="s">
        <v>260</v>
      </c>
      <c r="S99" s="9" t="s">
        <v>124</v>
      </c>
      <c r="T99" s="9"/>
      <c r="U99" s="9"/>
      <c r="V99" s="9" t="s">
        <v>76</v>
      </c>
      <c r="W99" s="9" t="s">
        <v>148</v>
      </c>
      <c r="X99" s="9" t="s">
        <v>81</v>
      </c>
      <c r="Y99" s="9" t="s">
        <v>151</v>
      </c>
      <c r="Z99" s="9" t="s">
        <v>157</v>
      </c>
      <c r="AA99" s="9" t="s">
        <v>157</v>
      </c>
      <c r="AB99" t="s">
        <v>390</v>
      </c>
    </row>
    <row r="100" spans="2:28" x14ac:dyDescent="0.3">
      <c r="B100">
        <f t="shared" si="4"/>
        <v>96</v>
      </c>
      <c r="D100" t="s">
        <v>233</v>
      </c>
      <c r="E100" t="s">
        <v>221</v>
      </c>
      <c r="F100" t="s">
        <v>391</v>
      </c>
      <c r="G100" t="s">
        <v>281</v>
      </c>
      <c r="I100" s="25">
        <v>46129</v>
      </c>
      <c r="J100" s="12">
        <v>0</v>
      </c>
      <c r="K100" s="12">
        <v>0</v>
      </c>
      <c r="L100" s="12">
        <v>0</v>
      </c>
      <c r="M100" s="13">
        <v>0</v>
      </c>
      <c r="N100" s="13">
        <v>0</v>
      </c>
      <c r="O100" s="13">
        <f t="shared" si="2"/>
        <v>0</v>
      </c>
      <c r="P100" s="9" t="s">
        <v>24</v>
      </c>
      <c r="Q100" s="13">
        <v>10</v>
      </c>
      <c r="R100" t="s">
        <v>260</v>
      </c>
      <c r="S100" s="9" t="s">
        <v>11</v>
      </c>
      <c r="T100" s="9"/>
      <c r="U100" s="9"/>
      <c r="V100" s="9" t="s">
        <v>197</v>
      </c>
      <c r="W100" s="9" t="s">
        <v>149</v>
      </c>
      <c r="X100" s="9" t="s">
        <v>122</v>
      </c>
      <c r="Y100" s="9" t="s">
        <v>154</v>
      </c>
      <c r="Z100" s="9" t="s">
        <v>161</v>
      </c>
      <c r="AA100" s="9" t="s">
        <v>161</v>
      </c>
      <c r="AB100" s="9" t="s">
        <v>392</v>
      </c>
    </row>
    <row r="101" spans="2:28" x14ac:dyDescent="0.3">
      <c r="B101">
        <f t="shared" si="4"/>
        <v>97</v>
      </c>
      <c r="D101" t="s">
        <v>235</v>
      </c>
      <c r="E101" t="s">
        <v>221</v>
      </c>
      <c r="F101" t="s">
        <v>393</v>
      </c>
      <c r="G101" t="s">
        <v>281</v>
      </c>
      <c r="I101" s="25">
        <v>46129</v>
      </c>
      <c r="J101" s="12">
        <v>0.65555555555555556</v>
      </c>
      <c r="K101" s="12">
        <v>0.6645833333333333</v>
      </c>
      <c r="L101" s="12">
        <v>0.69166666666666665</v>
      </c>
      <c r="M101" s="13">
        <v>23720</v>
      </c>
      <c r="N101" s="13">
        <v>0</v>
      </c>
      <c r="O101" s="13">
        <f t="shared" si="2"/>
        <v>23720</v>
      </c>
      <c r="P101" s="9" t="s">
        <v>24</v>
      </c>
      <c r="Q101" s="13">
        <v>10</v>
      </c>
      <c r="R101" t="s">
        <v>260</v>
      </c>
      <c r="S101" s="9" t="s">
        <v>11</v>
      </c>
      <c r="T101" s="9"/>
      <c r="U101" s="9"/>
      <c r="V101" s="9" t="s">
        <v>197</v>
      </c>
      <c r="W101" s="9" t="s">
        <v>149</v>
      </c>
      <c r="X101" s="9" t="s">
        <v>122</v>
      </c>
      <c r="Y101" s="9" t="s">
        <v>154</v>
      </c>
      <c r="Z101" s="9" t="s">
        <v>161</v>
      </c>
      <c r="AA101" s="9" t="s">
        <v>161</v>
      </c>
      <c r="AB101" s="9" t="s">
        <v>392</v>
      </c>
    </row>
    <row r="102" spans="2:28" x14ac:dyDescent="0.3">
      <c r="B102">
        <f t="shared" si="4"/>
        <v>98</v>
      </c>
      <c r="D102" t="s">
        <v>229</v>
      </c>
      <c r="E102" t="s">
        <v>221</v>
      </c>
      <c r="F102" t="s">
        <v>394</v>
      </c>
      <c r="G102" t="s">
        <v>281</v>
      </c>
      <c r="I102" s="25">
        <v>46129</v>
      </c>
      <c r="J102" s="12">
        <v>0.60069444444444442</v>
      </c>
      <c r="K102" s="12">
        <v>0.625</v>
      </c>
      <c r="L102" s="12">
        <v>0.65416666666666667</v>
      </c>
      <c r="M102" s="13">
        <v>23720</v>
      </c>
      <c r="N102" s="13">
        <v>0</v>
      </c>
      <c r="O102" s="13">
        <f t="shared" si="2"/>
        <v>23720</v>
      </c>
      <c r="P102" s="9" t="s">
        <v>24</v>
      </c>
      <c r="Q102" s="13">
        <v>10</v>
      </c>
      <c r="R102" t="s">
        <v>260</v>
      </c>
      <c r="S102" s="9" t="s">
        <v>11</v>
      </c>
      <c r="T102" s="9"/>
      <c r="U102" s="9"/>
      <c r="V102" s="9" t="s">
        <v>197</v>
      </c>
      <c r="W102" s="9" t="s">
        <v>149</v>
      </c>
      <c r="X102" s="9" t="s">
        <v>122</v>
      </c>
      <c r="Y102" s="9" t="s">
        <v>154</v>
      </c>
      <c r="Z102" s="9" t="s">
        <v>161</v>
      </c>
      <c r="AA102" s="9" t="s">
        <v>161</v>
      </c>
      <c r="AB102" s="9" t="s">
        <v>392</v>
      </c>
    </row>
    <row r="103" spans="2:28" x14ac:dyDescent="0.3">
      <c r="B103">
        <f t="shared" si="4"/>
        <v>99</v>
      </c>
      <c r="D103" t="s">
        <v>216</v>
      </c>
      <c r="E103" t="s">
        <v>221</v>
      </c>
      <c r="F103" t="s">
        <v>395</v>
      </c>
      <c r="G103" t="s">
        <v>281</v>
      </c>
      <c r="I103" s="25">
        <v>46129</v>
      </c>
      <c r="J103" s="12">
        <v>0.78194444444444444</v>
      </c>
      <c r="K103" s="12">
        <v>0.81527777777777777</v>
      </c>
      <c r="L103" s="12">
        <v>0.82499999999999996</v>
      </c>
      <c r="M103" s="13">
        <v>8480</v>
      </c>
      <c r="N103" s="13">
        <v>0</v>
      </c>
      <c r="O103" s="13">
        <f t="shared" si="2"/>
        <v>8480</v>
      </c>
      <c r="P103" s="9" t="s">
        <v>24</v>
      </c>
      <c r="Q103" s="13">
        <v>8</v>
      </c>
      <c r="R103" t="s">
        <v>260</v>
      </c>
      <c r="S103" s="9" t="s">
        <v>11</v>
      </c>
      <c r="T103" s="9"/>
      <c r="U103" s="9"/>
      <c r="V103" s="9" t="s">
        <v>77</v>
      </c>
      <c r="W103" s="9" t="s">
        <v>146</v>
      </c>
      <c r="X103" s="9" t="s">
        <v>70</v>
      </c>
      <c r="Y103" s="9" t="s">
        <v>150</v>
      </c>
      <c r="Z103" s="9" t="s">
        <v>157</v>
      </c>
      <c r="AA103" s="9" t="s">
        <v>157</v>
      </c>
      <c r="AB103" s="9" t="s">
        <v>396</v>
      </c>
    </row>
    <row r="104" spans="2:28" x14ac:dyDescent="0.3">
      <c r="B104">
        <f t="shared" si="4"/>
        <v>100</v>
      </c>
      <c r="D104" t="s">
        <v>231</v>
      </c>
      <c r="E104" t="s">
        <v>221</v>
      </c>
      <c r="F104" t="s">
        <v>397</v>
      </c>
      <c r="G104" t="s">
        <v>281</v>
      </c>
      <c r="I104" s="25">
        <v>46129</v>
      </c>
      <c r="J104" s="12">
        <v>0.83263888888888893</v>
      </c>
      <c r="K104" s="12">
        <v>0.84027777777777779</v>
      </c>
      <c r="L104" s="12">
        <v>0.86111111111111116</v>
      </c>
      <c r="M104" s="13">
        <v>24420</v>
      </c>
      <c r="N104" s="13">
        <v>0</v>
      </c>
      <c r="O104" s="13">
        <f t="shared" si="2"/>
        <v>24420</v>
      </c>
      <c r="P104" s="9" t="s">
        <v>24</v>
      </c>
      <c r="Q104" s="13">
        <v>10</v>
      </c>
      <c r="R104" t="s">
        <v>260</v>
      </c>
      <c r="S104" s="9" t="s">
        <v>11</v>
      </c>
      <c r="T104" s="9"/>
      <c r="U104" s="9"/>
      <c r="V104" s="9" t="s">
        <v>76</v>
      </c>
      <c r="W104" s="9" t="s">
        <v>146</v>
      </c>
      <c r="X104" s="9" t="s">
        <v>91</v>
      </c>
      <c r="Y104" s="9" t="s">
        <v>152</v>
      </c>
      <c r="Z104" s="9" t="s">
        <v>161</v>
      </c>
      <c r="AA104" s="9" t="s">
        <v>161</v>
      </c>
      <c r="AB104" s="9" t="s">
        <v>404</v>
      </c>
    </row>
    <row r="105" spans="2:28" x14ac:dyDescent="0.3">
      <c r="B105">
        <f t="shared" si="4"/>
        <v>101</v>
      </c>
      <c r="D105" t="s">
        <v>233</v>
      </c>
      <c r="E105" t="s">
        <v>221</v>
      </c>
      <c r="F105" t="s">
        <v>398</v>
      </c>
      <c r="G105" t="s">
        <v>281</v>
      </c>
      <c r="I105" s="25">
        <v>46129</v>
      </c>
      <c r="J105" s="12">
        <v>0.81319444444444444</v>
      </c>
      <c r="K105" s="12">
        <v>0.82430555555555551</v>
      </c>
      <c r="L105" s="12">
        <v>0.8520833333333333</v>
      </c>
      <c r="M105" s="13">
        <v>24080</v>
      </c>
      <c r="N105" s="13">
        <v>0</v>
      </c>
      <c r="O105" s="13">
        <f t="shared" si="2"/>
        <v>24080</v>
      </c>
      <c r="P105" s="9" t="s">
        <v>24</v>
      </c>
      <c r="Q105" s="13">
        <v>10</v>
      </c>
      <c r="R105" t="s">
        <v>260</v>
      </c>
      <c r="S105" s="9" t="s">
        <v>11</v>
      </c>
      <c r="T105" s="9"/>
      <c r="U105" s="9"/>
      <c r="V105" s="9" t="s">
        <v>76</v>
      </c>
      <c r="W105" s="9" t="s">
        <v>146</v>
      </c>
      <c r="X105" s="9" t="s">
        <v>91</v>
      </c>
      <c r="Y105" s="9" t="s">
        <v>152</v>
      </c>
      <c r="Z105" s="9" t="s">
        <v>161</v>
      </c>
      <c r="AA105" s="9" t="s">
        <v>161</v>
      </c>
      <c r="AB105" s="9" t="s">
        <v>404</v>
      </c>
    </row>
    <row r="106" spans="2:28" x14ac:dyDescent="0.3">
      <c r="B106">
        <f t="shared" si="4"/>
        <v>102</v>
      </c>
      <c r="D106" t="s">
        <v>251</v>
      </c>
      <c r="E106" t="s">
        <v>221</v>
      </c>
      <c r="F106" t="s">
        <v>399</v>
      </c>
      <c r="G106" t="s">
        <v>281</v>
      </c>
      <c r="I106" s="25">
        <v>46129</v>
      </c>
      <c r="J106" s="12">
        <v>0.81111111111111112</v>
      </c>
      <c r="K106" s="12">
        <v>0.82361111111111107</v>
      </c>
      <c r="L106" s="12">
        <v>0.84513888888888888</v>
      </c>
      <c r="M106" s="13">
        <v>24140</v>
      </c>
      <c r="N106" s="13">
        <v>0</v>
      </c>
      <c r="O106" s="13">
        <f t="shared" si="2"/>
        <v>24140</v>
      </c>
      <c r="P106" s="9" t="s">
        <v>24</v>
      </c>
      <c r="Q106" s="13">
        <v>10</v>
      </c>
      <c r="R106" t="s">
        <v>260</v>
      </c>
      <c r="S106" s="9" t="s">
        <v>11</v>
      </c>
      <c r="T106" s="9"/>
      <c r="U106" s="9"/>
      <c r="V106" s="9" t="s">
        <v>76</v>
      </c>
      <c r="W106" s="9" t="s">
        <v>146</v>
      </c>
      <c r="X106" s="9" t="s">
        <v>91</v>
      </c>
      <c r="Y106" s="9" t="s">
        <v>152</v>
      </c>
      <c r="Z106" s="9" t="s">
        <v>161</v>
      </c>
      <c r="AA106" s="9" t="s">
        <v>161</v>
      </c>
      <c r="AB106" s="9" t="s">
        <v>404</v>
      </c>
    </row>
    <row r="107" spans="2:28" x14ac:dyDescent="0.3">
      <c r="B107">
        <f t="shared" si="4"/>
        <v>103</v>
      </c>
      <c r="D107" t="s">
        <v>229</v>
      </c>
      <c r="E107" t="s">
        <v>221</v>
      </c>
      <c r="F107" t="s">
        <v>400</v>
      </c>
      <c r="G107" t="s">
        <v>281</v>
      </c>
      <c r="I107" s="25">
        <v>46129</v>
      </c>
      <c r="J107" s="12">
        <v>0.80625000000000002</v>
      </c>
      <c r="K107" s="12">
        <v>0.81666666666666665</v>
      </c>
      <c r="L107" s="12">
        <v>0.83125000000000004</v>
      </c>
      <c r="M107" s="13">
        <v>23840</v>
      </c>
      <c r="N107" s="13">
        <v>0</v>
      </c>
      <c r="O107" s="13">
        <f t="shared" si="2"/>
        <v>23840</v>
      </c>
      <c r="P107" s="9" t="s">
        <v>24</v>
      </c>
      <c r="Q107" s="13">
        <v>10</v>
      </c>
      <c r="R107" t="s">
        <v>260</v>
      </c>
      <c r="S107" s="9" t="s">
        <v>11</v>
      </c>
      <c r="T107" s="9"/>
      <c r="U107" s="9"/>
      <c r="V107" s="9" t="s">
        <v>76</v>
      </c>
      <c r="W107" s="9" t="s">
        <v>146</v>
      </c>
      <c r="X107" s="9" t="s">
        <v>91</v>
      </c>
      <c r="Y107" s="9" t="s">
        <v>152</v>
      </c>
      <c r="Z107" s="9" t="s">
        <v>161</v>
      </c>
      <c r="AA107" s="9" t="s">
        <v>161</v>
      </c>
      <c r="AB107" s="9" t="s">
        <v>404</v>
      </c>
    </row>
    <row r="108" spans="2:28" x14ac:dyDescent="0.3">
      <c r="B108">
        <f t="shared" si="4"/>
        <v>104</v>
      </c>
      <c r="D108" t="s">
        <v>216</v>
      </c>
      <c r="E108" t="s">
        <v>221</v>
      </c>
      <c r="F108" t="s">
        <v>401</v>
      </c>
      <c r="G108" t="s">
        <v>281</v>
      </c>
      <c r="I108" s="25">
        <v>46129</v>
      </c>
      <c r="J108" s="12">
        <v>0</v>
      </c>
      <c r="K108" s="12">
        <v>0</v>
      </c>
      <c r="L108" s="12">
        <v>0</v>
      </c>
      <c r="M108" s="13">
        <v>0</v>
      </c>
      <c r="N108" s="13">
        <v>0</v>
      </c>
      <c r="O108" s="13">
        <f t="shared" si="2"/>
        <v>0</v>
      </c>
      <c r="P108" s="9" t="s">
        <v>24</v>
      </c>
      <c r="Q108" s="13">
        <v>2</v>
      </c>
      <c r="R108" t="s">
        <v>260</v>
      </c>
      <c r="S108" s="9" t="s">
        <v>11</v>
      </c>
      <c r="T108" s="9"/>
      <c r="U108" s="9"/>
      <c r="V108" s="9" t="s">
        <v>76</v>
      </c>
      <c r="W108" s="9" t="s">
        <v>146</v>
      </c>
      <c r="X108" s="9" t="s">
        <v>91</v>
      </c>
      <c r="Y108" s="9" t="s">
        <v>152</v>
      </c>
      <c r="Z108" s="9" t="s">
        <v>161</v>
      </c>
      <c r="AA108" s="9" t="s">
        <v>161</v>
      </c>
      <c r="AB108" s="9" t="s">
        <v>404</v>
      </c>
    </row>
    <row r="109" spans="2:28" x14ac:dyDescent="0.3">
      <c r="B109">
        <f t="shared" si="4"/>
        <v>105</v>
      </c>
      <c r="D109" t="s">
        <v>368</v>
      </c>
      <c r="E109" t="s">
        <v>221</v>
      </c>
      <c r="F109" t="s">
        <v>402</v>
      </c>
      <c r="G109" t="s">
        <v>281</v>
      </c>
      <c r="I109" s="25">
        <v>46129</v>
      </c>
      <c r="J109" s="12">
        <v>0.80069444444444449</v>
      </c>
      <c r="K109" s="12">
        <v>0.81041666666666667</v>
      </c>
      <c r="L109" s="12">
        <v>0.82152777777777775</v>
      </c>
      <c r="M109" s="13">
        <v>23960</v>
      </c>
      <c r="N109" s="13">
        <v>0</v>
      </c>
      <c r="O109" s="13">
        <f t="shared" si="2"/>
        <v>23960</v>
      </c>
      <c r="P109" s="9" t="s">
        <v>24</v>
      </c>
      <c r="Q109" s="13">
        <v>10</v>
      </c>
      <c r="R109" t="s">
        <v>260</v>
      </c>
      <c r="S109" s="9" t="s">
        <v>11</v>
      </c>
      <c r="T109" s="9"/>
      <c r="U109" s="9"/>
      <c r="V109" s="9" t="s">
        <v>76</v>
      </c>
      <c r="W109" s="9" t="s">
        <v>146</v>
      </c>
      <c r="X109" s="9" t="s">
        <v>91</v>
      </c>
      <c r="Y109" s="9" t="s">
        <v>152</v>
      </c>
      <c r="Z109" s="9" t="s">
        <v>161</v>
      </c>
      <c r="AA109" s="9" t="s">
        <v>161</v>
      </c>
      <c r="AB109" s="9" t="s">
        <v>404</v>
      </c>
    </row>
    <row r="110" spans="2:28" x14ac:dyDescent="0.3">
      <c r="B110">
        <f t="shared" si="4"/>
        <v>106</v>
      </c>
      <c r="D110" t="s">
        <v>231</v>
      </c>
      <c r="E110" t="s">
        <v>221</v>
      </c>
      <c r="F110" t="s">
        <v>403</v>
      </c>
      <c r="G110" t="s">
        <v>281</v>
      </c>
      <c r="I110" s="25">
        <v>46129</v>
      </c>
      <c r="J110" s="12">
        <v>0.79166666666666663</v>
      </c>
      <c r="K110" s="12">
        <v>0.80208333333333337</v>
      </c>
      <c r="L110" s="12">
        <v>0.81736111111111109</v>
      </c>
      <c r="M110" s="13">
        <v>24400</v>
      </c>
      <c r="N110" s="13">
        <v>0</v>
      </c>
      <c r="O110" s="13">
        <f t="shared" si="2"/>
        <v>24400</v>
      </c>
      <c r="P110" s="9" t="s">
        <v>24</v>
      </c>
      <c r="Q110" s="13">
        <v>10</v>
      </c>
      <c r="R110" t="s">
        <v>260</v>
      </c>
      <c r="S110" s="9" t="s">
        <v>11</v>
      </c>
      <c r="T110" s="9"/>
      <c r="U110" s="9"/>
      <c r="V110" s="9" t="s">
        <v>76</v>
      </c>
      <c r="W110" s="9" t="s">
        <v>146</v>
      </c>
      <c r="X110" s="9" t="s">
        <v>91</v>
      </c>
      <c r="Y110" s="9" t="s">
        <v>152</v>
      </c>
      <c r="Z110" s="9" t="s">
        <v>161</v>
      </c>
      <c r="AA110" s="9" t="s">
        <v>161</v>
      </c>
      <c r="AB110" s="9" t="s">
        <v>404</v>
      </c>
    </row>
    <row r="111" spans="2:28" x14ac:dyDescent="0.3">
      <c r="B111">
        <f t="shared" si="4"/>
        <v>107</v>
      </c>
      <c r="D111" t="s">
        <v>231</v>
      </c>
      <c r="E111" t="s">
        <v>221</v>
      </c>
      <c r="F111" t="s">
        <v>405</v>
      </c>
      <c r="G111" t="s">
        <v>281</v>
      </c>
      <c r="I111" s="25">
        <v>46130</v>
      </c>
      <c r="J111" s="12">
        <v>0.38263888888888886</v>
      </c>
      <c r="K111" s="12">
        <v>0.39444444444444443</v>
      </c>
      <c r="L111" s="12">
        <v>0.42083333333333334</v>
      </c>
      <c r="M111" s="13">
        <v>21860</v>
      </c>
      <c r="N111" s="13">
        <v>0</v>
      </c>
      <c r="O111" s="13">
        <f t="shared" si="2"/>
        <v>21860</v>
      </c>
      <c r="P111" s="9" t="s">
        <v>24</v>
      </c>
      <c r="Q111" s="13">
        <v>10</v>
      </c>
      <c r="R111" t="s">
        <v>260</v>
      </c>
      <c r="S111" s="9" t="s">
        <v>11</v>
      </c>
      <c r="T111" s="9"/>
      <c r="U111" s="9"/>
      <c r="V111" s="9" t="s">
        <v>197</v>
      </c>
      <c r="W111" s="9" t="s">
        <v>149</v>
      </c>
      <c r="X111" s="9" t="s">
        <v>122</v>
      </c>
      <c r="Y111" s="9" t="s">
        <v>154</v>
      </c>
      <c r="Z111" s="9" t="s">
        <v>161</v>
      </c>
      <c r="AA111" s="9" t="s">
        <v>161</v>
      </c>
      <c r="AB111" s="9" t="s">
        <v>406</v>
      </c>
    </row>
    <row r="112" spans="2:28" x14ac:dyDescent="0.3">
      <c r="B112">
        <f t="shared" si="4"/>
        <v>108</v>
      </c>
      <c r="D112" t="s">
        <v>229</v>
      </c>
      <c r="E112" t="s">
        <v>221</v>
      </c>
      <c r="F112" t="s">
        <v>408</v>
      </c>
      <c r="G112" t="s">
        <v>281</v>
      </c>
      <c r="I112" s="25">
        <v>46130</v>
      </c>
      <c r="J112" s="12">
        <v>0</v>
      </c>
      <c r="K112" s="12">
        <v>0</v>
      </c>
      <c r="L112" s="12">
        <v>0</v>
      </c>
      <c r="M112" s="13">
        <v>0</v>
      </c>
      <c r="N112" s="13">
        <v>0</v>
      </c>
      <c r="O112" s="13">
        <f t="shared" si="2"/>
        <v>0</v>
      </c>
      <c r="P112" s="9" t="s">
        <v>24</v>
      </c>
      <c r="Q112" s="13">
        <v>8</v>
      </c>
      <c r="R112" t="s">
        <v>260</v>
      </c>
      <c r="S112" s="9" t="s">
        <v>11</v>
      </c>
      <c r="T112" s="9"/>
      <c r="U112" s="9"/>
      <c r="V112" s="9" t="s">
        <v>197</v>
      </c>
      <c r="W112" s="9" t="s">
        <v>149</v>
      </c>
      <c r="X112" s="9" t="s">
        <v>122</v>
      </c>
      <c r="Y112" s="9" t="s">
        <v>154</v>
      </c>
      <c r="Z112" s="9" t="s">
        <v>161</v>
      </c>
      <c r="AA112" s="9" t="s">
        <v>161</v>
      </c>
      <c r="AB112" s="9" t="s">
        <v>407</v>
      </c>
    </row>
    <row r="113" spans="2:28" x14ac:dyDescent="0.3">
      <c r="B113">
        <f t="shared" si="4"/>
        <v>109</v>
      </c>
      <c r="D113" t="s">
        <v>368</v>
      </c>
      <c r="E113" t="s">
        <v>221</v>
      </c>
      <c r="F113" t="s">
        <v>409</v>
      </c>
      <c r="G113" t="s">
        <v>281</v>
      </c>
      <c r="I113" s="25">
        <v>46130</v>
      </c>
      <c r="J113" s="12">
        <v>0</v>
      </c>
      <c r="K113" s="12">
        <v>0</v>
      </c>
      <c r="L113" s="12">
        <v>0</v>
      </c>
      <c r="M113" s="13">
        <v>0</v>
      </c>
      <c r="N113" s="13">
        <v>0</v>
      </c>
      <c r="O113" s="13">
        <f t="shared" si="2"/>
        <v>0</v>
      </c>
      <c r="P113" s="9" t="s">
        <v>24</v>
      </c>
      <c r="Q113" s="13">
        <v>8</v>
      </c>
      <c r="R113" t="s">
        <v>260</v>
      </c>
      <c r="S113" s="9" t="s">
        <v>11</v>
      </c>
      <c r="T113" s="9"/>
      <c r="U113" s="9"/>
      <c r="V113" s="9" t="s">
        <v>197</v>
      </c>
      <c r="W113" s="9" t="s">
        <v>149</v>
      </c>
      <c r="X113" s="9" t="s">
        <v>122</v>
      </c>
      <c r="Y113" s="9" t="s">
        <v>154</v>
      </c>
      <c r="Z113" s="9" t="s">
        <v>161</v>
      </c>
      <c r="AA113" s="9" t="s">
        <v>161</v>
      </c>
      <c r="AB113" s="9" t="s">
        <v>407</v>
      </c>
    </row>
    <row r="114" spans="2:28" x14ac:dyDescent="0.3">
      <c r="B114">
        <f t="shared" si="4"/>
        <v>110</v>
      </c>
      <c r="D114" t="s">
        <v>223</v>
      </c>
      <c r="E114" t="s">
        <v>221</v>
      </c>
      <c r="F114" t="s">
        <v>410</v>
      </c>
      <c r="G114" t="s">
        <v>281</v>
      </c>
      <c r="I114" s="25">
        <v>46130</v>
      </c>
      <c r="J114" s="12">
        <v>0</v>
      </c>
      <c r="K114" s="12">
        <v>0</v>
      </c>
      <c r="L114" s="12">
        <v>0</v>
      </c>
      <c r="M114" s="13">
        <v>0</v>
      </c>
      <c r="N114" s="13">
        <v>0</v>
      </c>
      <c r="O114" s="13">
        <f t="shared" si="2"/>
        <v>0</v>
      </c>
      <c r="P114" s="9" t="s">
        <v>24</v>
      </c>
      <c r="Q114" s="13">
        <v>8</v>
      </c>
      <c r="R114" t="s">
        <v>260</v>
      </c>
      <c r="S114" s="9" t="s">
        <v>11</v>
      </c>
      <c r="T114" s="9"/>
      <c r="U114" s="9"/>
      <c r="V114" s="9" t="s">
        <v>197</v>
      </c>
      <c r="W114" s="9" t="s">
        <v>149</v>
      </c>
      <c r="X114" s="9" t="s">
        <v>122</v>
      </c>
      <c r="Y114" s="9" t="s">
        <v>154</v>
      </c>
      <c r="Z114" s="9" t="s">
        <v>161</v>
      </c>
      <c r="AA114" s="9" t="s">
        <v>161</v>
      </c>
      <c r="AB114" s="9" t="s">
        <v>407</v>
      </c>
    </row>
    <row r="115" spans="2:28" x14ac:dyDescent="0.3">
      <c r="B115">
        <f t="shared" si="4"/>
        <v>111</v>
      </c>
      <c r="D115" t="s">
        <v>216</v>
      </c>
      <c r="E115" t="s">
        <v>217</v>
      </c>
      <c r="F115" t="s">
        <v>412</v>
      </c>
      <c r="G115" t="s">
        <v>411</v>
      </c>
      <c r="I115" s="25">
        <v>46132</v>
      </c>
      <c r="J115" s="12">
        <v>0.79791666666666672</v>
      </c>
      <c r="K115" s="12">
        <v>0.82152777777777775</v>
      </c>
      <c r="L115" s="12">
        <v>0.85</v>
      </c>
      <c r="M115" s="13">
        <v>19580</v>
      </c>
      <c r="N115" s="13">
        <v>0</v>
      </c>
      <c r="O115" s="13">
        <f t="shared" si="2"/>
        <v>19580</v>
      </c>
      <c r="P115" s="9" t="s">
        <v>24</v>
      </c>
      <c r="Q115" s="13">
        <v>8</v>
      </c>
      <c r="R115" t="s">
        <v>260</v>
      </c>
      <c r="S115" s="9" t="s">
        <v>11</v>
      </c>
      <c r="T115" s="9"/>
      <c r="U115" s="9"/>
      <c r="V115" s="9" t="s">
        <v>197</v>
      </c>
      <c r="W115" s="9" t="s">
        <v>149</v>
      </c>
      <c r="X115" s="9" t="s">
        <v>122</v>
      </c>
      <c r="Y115" s="9" t="s">
        <v>154</v>
      </c>
      <c r="Z115" s="9" t="s">
        <v>161</v>
      </c>
      <c r="AA115" s="9" t="s">
        <v>161</v>
      </c>
      <c r="AB115" s="9" t="s">
        <v>418</v>
      </c>
    </row>
    <row r="116" spans="2:28" x14ac:dyDescent="0.3">
      <c r="B116">
        <f t="shared" si="4"/>
        <v>112</v>
      </c>
      <c r="D116" t="s">
        <v>251</v>
      </c>
      <c r="E116" t="s">
        <v>217</v>
      </c>
      <c r="F116" t="s">
        <v>413</v>
      </c>
      <c r="G116" t="s">
        <v>411</v>
      </c>
      <c r="I116" s="25">
        <v>46132</v>
      </c>
      <c r="J116" s="12">
        <v>0.74513888888888891</v>
      </c>
      <c r="K116" s="12">
        <v>0.77569444444444446</v>
      </c>
      <c r="L116" s="12">
        <v>0.8125</v>
      </c>
      <c r="M116" s="13">
        <v>19020</v>
      </c>
      <c r="N116" s="13">
        <v>0</v>
      </c>
      <c r="O116" s="13">
        <f t="shared" si="2"/>
        <v>19020</v>
      </c>
      <c r="P116" s="9" t="s">
        <v>24</v>
      </c>
      <c r="Q116" s="13">
        <v>8</v>
      </c>
      <c r="R116" t="s">
        <v>260</v>
      </c>
      <c r="S116" s="9" t="s">
        <v>11</v>
      </c>
      <c r="T116" s="9"/>
      <c r="U116" s="9"/>
      <c r="V116" s="9" t="s">
        <v>197</v>
      </c>
      <c r="W116" s="9" t="s">
        <v>149</v>
      </c>
      <c r="X116" s="9" t="s">
        <v>122</v>
      </c>
      <c r="Y116" s="9" t="s">
        <v>154</v>
      </c>
      <c r="Z116" s="9" t="s">
        <v>161</v>
      </c>
      <c r="AA116" s="9" t="s">
        <v>161</v>
      </c>
      <c r="AB116" s="9" t="s">
        <v>418</v>
      </c>
    </row>
    <row r="117" spans="2:28" x14ac:dyDescent="0.3">
      <c r="B117">
        <f t="shared" si="4"/>
        <v>113</v>
      </c>
      <c r="D117" t="s">
        <v>231</v>
      </c>
      <c r="E117" t="s">
        <v>217</v>
      </c>
      <c r="F117" t="s">
        <v>414</v>
      </c>
      <c r="G117" t="s">
        <v>411</v>
      </c>
      <c r="I117" s="25">
        <v>46132</v>
      </c>
      <c r="J117" s="12">
        <v>0.73402777777777772</v>
      </c>
      <c r="K117" s="12">
        <v>0.76041666666666663</v>
      </c>
      <c r="L117" s="12">
        <v>0.77500000000000002</v>
      </c>
      <c r="M117" s="13">
        <v>19860</v>
      </c>
      <c r="N117" s="13">
        <v>0</v>
      </c>
      <c r="O117" s="13">
        <f t="shared" si="2"/>
        <v>19860</v>
      </c>
      <c r="P117" s="9" t="s">
        <v>24</v>
      </c>
      <c r="Q117" s="13">
        <v>8</v>
      </c>
      <c r="R117" t="s">
        <v>260</v>
      </c>
      <c r="S117" s="9" t="s">
        <v>11</v>
      </c>
      <c r="T117" s="9"/>
      <c r="U117" s="9"/>
      <c r="V117" s="9" t="s">
        <v>197</v>
      </c>
      <c r="W117" s="9" t="s">
        <v>149</v>
      </c>
      <c r="X117" s="9" t="s">
        <v>122</v>
      </c>
      <c r="Y117" s="9" t="s">
        <v>154</v>
      </c>
      <c r="Z117" s="9" t="s">
        <v>161</v>
      </c>
      <c r="AA117" s="9" t="s">
        <v>161</v>
      </c>
      <c r="AB117" s="9" t="s">
        <v>418</v>
      </c>
    </row>
    <row r="118" spans="2:28" x14ac:dyDescent="0.3">
      <c r="B118">
        <f t="shared" si="4"/>
        <v>114</v>
      </c>
      <c r="D118" t="s">
        <v>235</v>
      </c>
      <c r="E118" t="s">
        <v>217</v>
      </c>
      <c r="F118" t="s">
        <v>415</v>
      </c>
      <c r="G118" t="s">
        <v>411</v>
      </c>
      <c r="I118" s="25">
        <v>46132</v>
      </c>
      <c r="J118" s="12">
        <v>0.67013888888888884</v>
      </c>
      <c r="K118" s="12">
        <v>0.69236111111111109</v>
      </c>
      <c r="L118" s="12">
        <v>0.71111111111111114</v>
      </c>
      <c r="M118" s="13">
        <v>16820</v>
      </c>
      <c r="N118" s="13">
        <v>0</v>
      </c>
      <c r="O118" s="13">
        <f t="shared" si="2"/>
        <v>16820</v>
      </c>
      <c r="P118" s="9" t="s">
        <v>24</v>
      </c>
      <c r="Q118" s="13">
        <v>7</v>
      </c>
      <c r="R118" t="s">
        <v>260</v>
      </c>
      <c r="S118" s="9" t="s">
        <v>11</v>
      </c>
      <c r="T118" s="9"/>
      <c r="U118" s="9"/>
      <c r="V118" s="9" t="s">
        <v>197</v>
      </c>
      <c r="W118" s="9" t="s">
        <v>149</v>
      </c>
      <c r="X118" s="9" t="s">
        <v>122</v>
      </c>
      <c r="Y118" s="9" t="s">
        <v>154</v>
      </c>
      <c r="Z118" s="9" t="s">
        <v>161</v>
      </c>
      <c r="AA118" s="9" t="s">
        <v>161</v>
      </c>
      <c r="AB118" s="9" t="s">
        <v>418</v>
      </c>
    </row>
    <row r="119" spans="2:28" x14ac:dyDescent="0.3">
      <c r="B119">
        <f t="shared" si="4"/>
        <v>115</v>
      </c>
      <c r="D119" t="s">
        <v>231</v>
      </c>
      <c r="E119" t="s">
        <v>217</v>
      </c>
      <c r="F119" t="s">
        <v>416</v>
      </c>
      <c r="G119" t="s">
        <v>411</v>
      </c>
      <c r="I119" s="25">
        <v>46132</v>
      </c>
      <c r="J119" s="12">
        <v>0.66319444444444442</v>
      </c>
      <c r="K119" s="12">
        <v>0.68819444444444444</v>
      </c>
      <c r="L119" s="12">
        <v>0.70277777777777772</v>
      </c>
      <c r="M119" s="13">
        <v>19820</v>
      </c>
      <c r="N119" s="13">
        <v>0</v>
      </c>
      <c r="O119" s="13">
        <f t="shared" si="2"/>
        <v>19820</v>
      </c>
      <c r="P119" s="9" t="s">
        <v>24</v>
      </c>
      <c r="Q119" s="13">
        <v>8</v>
      </c>
      <c r="R119" t="s">
        <v>260</v>
      </c>
      <c r="S119" s="9" t="s">
        <v>11</v>
      </c>
      <c r="T119" s="9"/>
      <c r="U119" s="9"/>
      <c r="V119" s="9" t="s">
        <v>197</v>
      </c>
      <c r="W119" s="9" t="s">
        <v>149</v>
      </c>
      <c r="X119" s="9" t="s">
        <v>122</v>
      </c>
      <c r="Y119" s="9" t="s">
        <v>154</v>
      </c>
      <c r="Z119" s="9" t="s">
        <v>161</v>
      </c>
      <c r="AA119" s="9" t="s">
        <v>161</v>
      </c>
      <c r="AB119" s="9" t="s">
        <v>418</v>
      </c>
    </row>
    <row r="120" spans="2:28" x14ac:dyDescent="0.3">
      <c r="B120">
        <f t="shared" si="4"/>
        <v>116</v>
      </c>
      <c r="D120" t="s">
        <v>229</v>
      </c>
      <c r="E120" t="s">
        <v>217</v>
      </c>
      <c r="F120" t="s">
        <v>417</v>
      </c>
      <c r="G120" t="s">
        <v>411</v>
      </c>
      <c r="I120" s="25">
        <v>46132</v>
      </c>
      <c r="J120" s="12">
        <v>0.60902777777777772</v>
      </c>
      <c r="K120" s="12">
        <v>0.62638888888888888</v>
      </c>
      <c r="L120" s="12">
        <v>0.64652777777777781</v>
      </c>
      <c r="M120" s="13">
        <v>19460</v>
      </c>
      <c r="N120" s="13">
        <v>0</v>
      </c>
      <c r="O120" s="13">
        <f t="shared" si="2"/>
        <v>19460</v>
      </c>
      <c r="P120" s="9" t="s">
        <v>24</v>
      </c>
      <c r="Q120" s="13">
        <v>8</v>
      </c>
      <c r="R120" t="s">
        <v>260</v>
      </c>
      <c r="S120" s="9" t="s">
        <v>11</v>
      </c>
      <c r="T120" s="9"/>
      <c r="U120" s="9"/>
      <c r="V120" s="9" t="s">
        <v>197</v>
      </c>
      <c r="W120" s="9" t="s">
        <v>149</v>
      </c>
      <c r="X120" s="9" t="s">
        <v>122</v>
      </c>
      <c r="Y120" s="9" t="s">
        <v>154</v>
      </c>
      <c r="Z120" s="9" t="s">
        <v>161</v>
      </c>
      <c r="AA120" s="9" t="s">
        <v>161</v>
      </c>
      <c r="AB120" s="9" t="s">
        <v>418</v>
      </c>
    </row>
    <row r="121" spans="2:28" x14ac:dyDescent="0.3">
      <c r="B121">
        <f t="shared" si="4"/>
        <v>117</v>
      </c>
      <c r="D121" t="s">
        <v>229</v>
      </c>
      <c r="E121" t="s">
        <v>221</v>
      </c>
      <c r="F121" t="s">
        <v>419</v>
      </c>
      <c r="G121" t="s">
        <v>502</v>
      </c>
      <c r="I121" s="25">
        <v>46133</v>
      </c>
      <c r="J121" s="12">
        <v>0</v>
      </c>
      <c r="K121" s="12">
        <v>0</v>
      </c>
      <c r="L121" s="12">
        <v>0</v>
      </c>
      <c r="M121" s="13">
        <v>0</v>
      </c>
      <c r="N121" s="13">
        <v>0</v>
      </c>
      <c r="O121" s="13">
        <f t="shared" si="2"/>
        <v>0</v>
      </c>
      <c r="P121" s="9" t="s">
        <v>23</v>
      </c>
      <c r="Q121" s="13">
        <v>8</v>
      </c>
      <c r="R121" t="s">
        <v>260</v>
      </c>
      <c r="S121" s="9" t="s">
        <v>124</v>
      </c>
      <c r="T121" s="9"/>
      <c r="U121" s="9"/>
      <c r="V121" s="9" t="s">
        <v>76</v>
      </c>
      <c r="W121" s="9" t="s">
        <v>148</v>
      </c>
      <c r="X121" s="9" t="s">
        <v>81</v>
      </c>
      <c r="Y121" s="9" t="s">
        <v>151</v>
      </c>
      <c r="Z121" s="9" t="s">
        <v>157</v>
      </c>
      <c r="AA121" s="9" t="s">
        <v>157</v>
      </c>
      <c r="AB121" s="9" t="s">
        <v>420</v>
      </c>
    </row>
    <row r="122" spans="2:28" x14ac:dyDescent="0.3">
      <c r="B122">
        <f t="shared" si="4"/>
        <v>118</v>
      </c>
      <c r="D122" t="s">
        <v>235</v>
      </c>
      <c r="E122" t="s">
        <v>221</v>
      </c>
      <c r="F122" t="s">
        <v>421</v>
      </c>
      <c r="G122" t="s">
        <v>502</v>
      </c>
      <c r="I122" s="25">
        <v>46133</v>
      </c>
      <c r="J122" s="12">
        <v>0.74861111111111101</v>
      </c>
      <c r="K122" s="12">
        <v>0.79305555555555562</v>
      </c>
      <c r="L122" s="12">
        <v>0.80972222222222223</v>
      </c>
      <c r="M122" s="13">
        <v>19260</v>
      </c>
      <c r="N122" s="13">
        <v>0</v>
      </c>
      <c r="O122" s="13">
        <f t="shared" si="2"/>
        <v>19260</v>
      </c>
      <c r="P122" s="9" t="s">
        <v>24</v>
      </c>
      <c r="Q122" s="13">
        <v>8</v>
      </c>
      <c r="R122" t="s">
        <v>260</v>
      </c>
      <c r="S122" s="9" t="s">
        <v>11</v>
      </c>
      <c r="T122" s="9"/>
      <c r="U122" s="9"/>
      <c r="V122" s="9" t="s">
        <v>197</v>
      </c>
      <c r="W122" s="9" t="s">
        <v>149</v>
      </c>
      <c r="X122" s="9" t="s">
        <v>122</v>
      </c>
      <c r="Y122" s="9" t="s">
        <v>154</v>
      </c>
      <c r="Z122" s="9" t="s">
        <v>161</v>
      </c>
      <c r="AA122" s="9" t="s">
        <v>161</v>
      </c>
      <c r="AB122" s="9" t="s">
        <v>427</v>
      </c>
    </row>
    <row r="123" spans="2:28" x14ac:dyDescent="0.3">
      <c r="B123">
        <f t="shared" si="4"/>
        <v>119</v>
      </c>
      <c r="D123" t="s">
        <v>223</v>
      </c>
      <c r="E123" t="s">
        <v>221</v>
      </c>
      <c r="F123" t="s">
        <v>422</v>
      </c>
      <c r="G123" t="s">
        <v>502</v>
      </c>
      <c r="I123" s="25">
        <v>46133</v>
      </c>
      <c r="J123" s="12">
        <v>0.7597222222222223</v>
      </c>
      <c r="K123" s="12">
        <v>0.80347222222222225</v>
      </c>
      <c r="L123" s="12">
        <v>0.82500000000000007</v>
      </c>
      <c r="M123" s="13">
        <v>18960</v>
      </c>
      <c r="N123" s="13">
        <v>0</v>
      </c>
      <c r="O123" s="13">
        <f t="shared" si="2"/>
        <v>18960</v>
      </c>
      <c r="P123" s="9" t="s">
        <v>24</v>
      </c>
      <c r="Q123" s="13">
        <v>8</v>
      </c>
      <c r="R123" t="s">
        <v>260</v>
      </c>
      <c r="S123" s="9" t="s">
        <v>11</v>
      </c>
      <c r="T123" s="9"/>
      <c r="U123" s="9"/>
      <c r="V123" s="9" t="s">
        <v>197</v>
      </c>
      <c r="W123" s="9" t="s">
        <v>149</v>
      </c>
      <c r="X123" s="9" t="s">
        <v>122</v>
      </c>
      <c r="Y123" s="9" t="s">
        <v>154</v>
      </c>
      <c r="Z123" s="9" t="s">
        <v>161</v>
      </c>
      <c r="AA123" s="9" t="s">
        <v>161</v>
      </c>
      <c r="AB123" s="9" t="s">
        <v>427</v>
      </c>
    </row>
    <row r="124" spans="2:28" x14ac:dyDescent="0.3">
      <c r="B124">
        <f t="shared" si="4"/>
        <v>120</v>
      </c>
      <c r="D124" t="s">
        <v>251</v>
      </c>
      <c r="E124" t="s">
        <v>221</v>
      </c>
      <c r="F124" t="s">
        <v>423</v>
      </c>
      <c r="G124" t="s">
        <v>502</v>
      </c>
      <c r="I124" s="25">
        <v>46133</v>
      </c>
      <c r="J124" s="12">
        <v>0</v>
      </c>
      <c r="K124" s="12">
        <v>0</v>
      </c>
      <c r="L124" s="12">
        <v>0</v>
      </c>
      <c r="M124" s="13">
        <v>0</v>
      </c>
      <c r="N124" s="13">
        <v>0</v>
      </c>
      <c r="O124" s="13">
        <f t="shared" si="2"/>
        <v>0</v>
      </c>
      <c r="P124" s="9" t="s">
        <v>24</v>
      </c>
      <c r="Q124" s="13">
        <v>8</v>
      </c>
      <c r="R124" t="s">
        <v>260</v>
      </c>
      <c r="S124" s="9" t="s">
        <v>11</v>
      </c>
      <c r="T124" s="9"/>
      <c r="U124" s="9"/>
      <c r="V124" s="9" t="s">
        <v>197</v>
      </c>
      <c r="W124" s="9" t="s">
        <v>149</v>
      </c>
      <c r="X124" s="9" t="s">
        <v>122</v>
      </c>
      <c r="Y124" s="9" t="s">
        <v>154</v>
      </c>
      <c r="Z124" s="9" t="s">
        <v>161</v>
      </c>
      <c r="AA124" s="9" t="s">
        <v>161</v>
      </c>
      <c r="AB124" s="9" t="s">
        <v>427</v>
      </c>
    </row>
    <row r="125" spans="2:28" x14ac:dyDescent="0.3">
      <c r="B125">
        <f t="shared" si="4"/>
        <v>121</v>
      </c>
      <c r="D125" t="s">
        <v>235</v>
      </c>
      <c r="E125" t="s">
        <v>221</v>
      </c>
      <c r="F125" t="s">
        <v>424</v>
      </c>
      <c r="G125" t="s">
        <v>281</v>
      </c>
      <c r="I125" s="25">
        <v>46133</v>
      </c>
      <c r="J125" s="12">
        <v>0.54305555555555551</v>
      </c>
      <c r="K125" s="12">
        <v>0.56736111111111109</v>
      </c>
      <c r="L125" s="12">
        <v>0.58472222222222225</v>
      </c>
      <c r="M125" s="13">
        <v>15740</v>
      </c>
      <c r="N125" s="13">
        <v>0</v>
      </c>
      <c r="O125" s="13">
        <f t="shared" si="2"/>
        <v>15740</v>
      </c>
      <c r="P125" s="9" t="s">
        <v>24</v>
      </c>
      <c r="Q125" s="13">
        <v>8</v>
      </c>
      <c r="R125" t="s">
        <v>260</v>
      </c>
      <c r="S125" s="9" t="s">
        <v>11</v>
      </c>
      <c r="T125" s="9"/>
      <c r="U125" s="9"/>
      <c r="V125" s="9" t="s">
        <v>197</v>
      </c>
      <c r="W125" s="9" t="s">
        <v>149</v>
      </c>
      <c r="X125" s="9" t="s">
        <v>122</v>
      </c>
      <c r="Y125" s="9" t="s">
        <v>154</v>
      </c>
      <c r="Z125" s="9" t="s">
        <v>161</v>
      </c>
      <c r="AA125" s="9" t="s">
        <v>161</v>
      </c>
      <c r="AB125" s="9" t="s">
        <v>427</v>
      </c>
    </row>
    <row r="126" spans="2:28" x14ac:dyDescent="0.3">
      <c r="B126">
        <f t="shared" si="4"/>
        <v>122</v>
      </c>
      <c r="D126" t="s">
        <v>229</v>
      </c>
      <c r="E126" t="s">
        <v>221</v>
      </c>
      <c r="F126" t="s">
        <v>425</v>
      </c>
      <c r="G126" t="s">
        <v>281</v>
      </c>
      <c r="I126" s="25">
        <v>46133</v>
      </c>
      <c r="J126" s="12">
        <v>0.50138888888888888</v>
      </c>
      <c r="K126" s="12">
        <v>0.51388888888888895</v>
      </c>
      <c r="L126" s="12">
        <v>0.53125</v>
      </c>
      <c r="M126" s="13">
        <v>18700</v>
      </c>
      <c r="N126" s="13">
        <v>0</v>
      </c>
      <c r="O126" s="13">
        <f t="shared" si="2"/>
        <v>18700</v>
      </c>
      <c r="P126" s="9" t="s">
        <v>24</v>
      </c>
      <c r="Q126" s="13">
        <v>8</v>
      </c>
      <c r="R126" t="s">
        <v>260</v>
      </c>
      <c r="S126" s="9" t="s">
        <v>11</v>
      </c>
      <c r="T126" s="9"/>
      <c r="U126" s="9"/>
      <c r="V126" s="9" t="s">
        <v>197</v>
      </c>
      <c r="W126" s="9" t="s">
        <v>149</v>
      </c>
      <c r="X126" s="9" t="s">
        <v>122</v>
      </c>
      <c r="Y126" s="9" t="s">
        <v>154</v>
      </c>
      <c r="Z126" s="9" t="s">
        <v>161</v>
      </c>
      <c r="AA126" s="9" t="s">
        <v>161</v>
      </c>
      <c r="AB126" s="9" t="s">
        <v>427</v>
      </c>
    </row>
    <row r="127" spans="2:28" x14ac:dyDescent="0.3">
      <c r="B127">
        <f t="shared" si="4"/>
        <v>123</v>
      </c>
      <c r="D127" t="s">
        <v>233</v>
      </c>
      <c r="E127" t="s">
        <v>221</v>
      </c>
      <c r="F127" t="s">
        <v>426</v>
      </c>
      <c r="G127" t="s">
        <v>281</v>
      </c>
      <c r="I127" s="25">
        <v>46133</v>
      </c>
      <c r="J127" s="12">
        <v>0.4548611111111111</v>
      </c>
      <c r="K127" s="12">
        <v>0.46180555555555558</v>
      </c>
      <c r="L127" s="12">
        <v>0.50694444444444442</v>
      </c>
      <c r="M127" s="13">
        <v>18900</v>
      </c>
      <c r="N127" s="13">
        <v>0</v>
      </c>
      <c r="O127" s="13">
        <f t="shared" si="2"/>
        <v>18900</v>
      </c>
      <c r="P127" s="9" t="s">
        <v>24</v>
      </c>
      <c r="Q127" s="13">
        <v>8</v>
      </c>
      <c r="R127" t="s">
        <v>260</v>
      </c>
      <c r="S127" s="9" t="s">
        <v>11</v>
      </c>
      <c r="T127" s="9"/>
      <c r="U127" s="9"/>
      <c r="V127" s="9" t="s">
        <v>197</v>
      </c>
      <c r="W127" s="9" t="s">
        <v>149</v>
      </c>
      <c r="X127" s="9" t="s">
        <v>122</v>
      </c>
      <c r="Y127" s="9" t="s">
        <v>154</v>
      </c>
      <c r="Z127" s="9" t="s">
        <v>161</v>
      </c>
      <c r="AA127" s="9" t="s">
        <v>161</v>
      </c>
      <c r="AB127" s="9" t="s">
        <v>427</v>
      </c>
    </row>
    <row r="128" spans="2:28" x14ac:dyDescent="0.3">
      <c r="B128">
        <f t="shared" si="4"/>
        <v>124</v>
      </c>
      <c r="D128" t="s">
        <v>251</v>
      </c>
      <c r="E128" t="s">
        <v>221</v>
      </c>
      <c r="F128" t="s">
        <v>428</v>
      </c>
      <c r="G128" t="s">
        <v>281</v>
      </c>
      <c r="I128" s="25">
        <v>46134</v>
      </c>
      <c r="J128" s="12">
        <v>0</v>
      </c>
      <c r="K128" s="12">
        <v>0</v>
      </c>
      <c r="L128" s="12">
        <v>0</v>
      </c>
      <c r="M128" s="13">
        <v>0</v>
      </c>
      <c r="N128" s="13">
        <v>0</v>
      </c>
      <c r="O128" s="13">
        <f t="shared" si="2"/>
        <v>0</v>
      </c>
      <c r="P128" s="9" t="s">
        <v>23</v>
      </c>
      <c r="Q128" s="13">
        <v>3</v>
      </c>
      <c r="R128" t="s">
        <v>260</v>
      </c>
      <c r="S128" s="9" t="s">
        <v>124</v>
      </c>
      <c r="T128" s="9"/>
      <c r="U128" s="9"/>
      <c r="V128" s="9" t="s">
        <v>77</v>
      </c>
      <c r="W128" s="9" t="s">
        <v>145</v>
      </c>
      <c r="X128" s="9" t="s">
        <v>83</v>
      </c>
      <c r="Y128" s="9" t="s">
        <v>150</v>
      </c>
      <c r="Z128" s="9" t="s">
        <v>157</v>
      </c>
      <c r="AA128" s="9" t="s">
        <v>157</v>
      </c>
      <c r="AB128" s="9" t="s">
        <v>429</v>
      </c>
    </row>
    <row r="129" spans="2:28" x14ac:dyDescent="0.3">
      <c r="B129">
        <f t="shared" si="4"/>
        <v>125</v>
      </c>
      <c r="D129" t="s">
        <v>216</v>
      </c>
      <c r="E129" t="s">
        <v>221</v>
      </c>
      <c r="F129" t="s">
        <v>430</v>
      </c>
      <c r="G129" t="s">
        <v>502</v>
      </c>
      <c r="I129" s="25">
        <v>46134</v>
      </c>
      <c r="J129" s="12">
        <v>0.80625000000000002</v>
      </c>
      <c r="K129" s="12">
        <v>0.82708333333333339</v>
      </c>
      <c r="L129" s="12">
        <v>0.83472222222222225</v>
      </c>
      <c r="M129" s="13">
        <v>9560</v>
      </c>
      <c r="N129" s="13">
        <v>0</v>
      </c>
      <c r="O129" s="13">
        <f t="shared" si="2"/>
        <v>9560</v>
      </c>
      <c r="P129" s="9" t="s">
        <v>24</v>
      </c>
      <c r="Q129" s="13">
        <v>4</v>
      </c>
      <c r="R129" t="s">
        <v>260</v>
      </c>
      <c r="S129" s="9" t="s">
        <v>11</v>
      </c>
      <c r="T129" s="9"/>
      <c r="U129" s="9"/>
      <c r="V129" s="9" t="s">
        <v>197</v>
      </c>
      <c r="W129" s="9" t="s">
        <v>149</v>
      </c>
      <c r="X129" s="9" t="s">
        <v>122</v>
      </c>
      <c r="Y129" s="9" t="s">
        <v>154</v>
      </c>
      <c r="Z129" s="9" t="s">
        <v>161</v>
      </c>
      <c r="AA129" s="9" t="s">
        <v>161</v>
      </c>
      <c r="AB129" s="9" t="s">
        <v>434</v>
      </c>
    </row>
    <row r="130" spans="2:28" x14ac:dyDescent="0.3">
      <c r="B130">
        <f t="shared" si="4"/>
        <v>126</v>
      </c>
      <c r="D130" t="s">
        <v>216</v>
      </c>
      <c r="E130" t="s">
        <v>221</v>
      </c>
      <c r="F130" t="s">
        <v>431</v>
      </c>
      <c r="G130" t="s">
        <v>502</v>
      </c>
      <c r="I130" s="25">
        <v>46134</v>
      </c>
      <c r="J130" s="12">
        <v>0.73125000000000007</v>
      </c>
      <c r="K130" s="12">
        <v>0.76180555555555562</v>
      </c>
      <c r="L130" s="12">
        <v>0.77986111111111101</v>
      </c>
      <c r="M130" s="13">
        <v>18760</v>
      </c>
      <c r="N130" s="13">
        <v>0</v>
      </c>
      <c r="O130" s="13">
        <f t="shared" si="2"/>
        <v>18760</v>
      </c>
      <c r="P130" s="9" t="s">
        <v>24</v>
      </c>
      <c r="Q130" s="13">
        <v>8</v>
      </c>
      <c r="R130" t="s">
        <v>260</v>
      </c>
      <c r="S130" s="9" t="s">
        <v>11</v>
      </c>
      <c r="T130" s="9"/>
      <c r="U130" s="9"/>
      <c r="V130" s="9" t="s">
        <v>197</v>
      </c>
      <c r="W130" s="9" t="s">
        <v>149</v>
      </c>
      <c r="X130" s="9" t="s">
        <v>122</v>
      </c>
      <c r="Y130" s="9" t="s">
        <v>154</v>
      </c>
      <c r="Z130" s="9" t="s">
        <v>161</v>
      </c>
      <c r="AA130" s="9" t="s">
        <v>161</v>
      </c>
      <c r="AB130" s="9" t="s">
        <v>434</v>
      </c>
    </row>
    <row r="131" spans="2:28" x14ac:dyDescent="0.3">
      <c r="B131">
        <f t="shared" si="4"/>
        <v>127</v>
      </c>
      <c r="D131" t="s">
        <v>251</v>
      </c>
      <c r="E131" t="s">
        <v>221</v>
      </c>
      <c r="F131" t="s">
        <v>432</v>
      </c>
      <c r="G131" t="s">
        <v>502</v>
      </c>
      <c r="I131" s="25">
        <v>46134</v>
      </c>
      <c r="J131" s="12">
        <v>0</v>
      </c>
      <c r="K131" s="12">
        <v>0</v>
      </c>
      <c r="L131" s="12">
        <v>0</v>
      </c>
      <c r="M131" s="13">
        <v>0</v>
      </c>
      <c r="N131" s="13">
        <v>0</v>
      </c>
      <c r="O131" s="13">
        <f t="shared" si="2"/>
        <v>0</v>
      </c>
      <c r="P131" s="9" t="s">
        <v>24</v>
      </c>
      <c r="Q131" s="13">
        <v>8</v>
      </c>
      <c r="R131" t="s">
        <v>260</v>
      </c>
      <c r="S131" s="9" t="s">
        <v>11</v>
      </c>
      <c r="T131" s="9"/>
      <c r="U131" s="9"/>
      <c r="V131" s="9" t="s">
        <v>197</v>
      </c>
      <c r="W131" s="9" t="s">
        <v>149</v>
      </c>
      <c r="X131" s="9" t="s">
        <v>122</v>
      </c>
      <c r="Y131" s="9" t="s">
        <v>154</v>
      </c>
      <c r="Z131" s="9" t="s">
        <v>161</v>
      </c>
      <c r="AA131" s="9" t="s">
        <v>161</v>
      </c>
      <c r="AB131" s="9" t="s">
        <v>434</v>
      </c>
    </row>
    <row r="132" spans="2:28" x14ac:dyDescent="0.3">
      <c r="B132">
        <f t="shared" si="4"/>
        <v>128</v>
      </c>
      <c r="D132" t="s">
        <v>251</v>
      </c>
      <c r="E132" t="s">
        <v>221</v>
      </c>
      <c r="F132" t="s">
        <v>433</v>
      </c>
      <c r="G132" t="s">
        <v>502</v>
      </c>
      <c r="I132" s="25">
        <v>46134</v>
      </c>
      <c r="J132" s="12">
        <v>0</v>
      </c>
      <c r="K132" s="12">
        <v>0</v>
      </c>
      <c r="L132" s="12">
        <v>0</v>
      </c>
      <c r="M132" s="13">
        <v>0</v>
      </c>
      <c r="N132" s="13">
        <v>0</v>
      </c>
      <c r="O132" s="13">
        <f t="shared" si="2"/>
        <v>0</v>
      </c>
      <c r="P132" s="9" t="s">
        <v>24</v>
      </c>
      <c r="Q132" s="13">
        <v>8</v>
      </c>
      <c r="R132" t="s">
        <v>260</v>
      </c>
      <c r="S132" s="9" t="s">
        <v>11</v>
      </c>
      <c r="T132" s="9"/>
      <c r="U132" s="9"/>
      <c r="V132" s="9" t="s">
        <v>197</v>
      </c>
      <c r="W132" s="9" t="s">
        <v>149</v>
      </c>
      <c r="X132" s="9" t="s">
        <v>122</v>
      </c>
      <c r="Y132" s="9" t="s">
        <v>154</v>
      </c>
      <c r="Z132" s="9" t="s">
        <v>161</v>
      </c>
      <c r="AA132" s="9" t="s">
        <v>161</v>
      </c>
      <c r="AB132" s="9" t="s">
        <v>434</v>
      </c>
    </row>
    <row r="133" spans="2:28" x14ac:dyDescent="0.3">
      <c r="B133">
        <f t="shared" si="4"/>
        <v>129</v>
      </c>
      <c r="D133" t="s">
        <v>251</v>
      </c>
      <c r="E133" t="s">
        <v>217</v>
      </c>
      <c r="F133" t="s">
        <v>435</v>
      </c>
      <c r="G133" t="s">
        <v>411</v>
      </c>
      <c r="I133" s="25">
        <v>46135</v>
      </c>
      <c r="J133" s="12">
        <v>0</v>
      </c>
      <c r="K133" s="12">
        <v>0</v>
      </c>
      <c r="L133" s="12">
        <v>0</v>
      </c>
      <c r="M133" s="13">
        <v>0</v>
      </c>
      <c r="N133" s="13">
        <v>0</v>
      </c>
      <c r="O133" s="13">
        <f t="shared" ref="O133:O196" si="12">+M133-N133</f>
        <v>0</v>
      </c>
      <c r="P133" s="9" t="s">
        <v>25</v>
      </c>
      <c r="Q133" s="13">
        <v>8</v>
      </c>
      <c r="R133" t="s">
        <v>260</v>
      </c>
      <c r="S133" s="9" t="s">
        <v>11</v>
      </c>
      <c r="T133" s="9" t="s">
        <v>33</v>
      </c>
      <c r="U133" s="9"/>
      <c r="V133" s="9" t="s">
        <v>76</v>
      </c>
      <c r="W133" s="9" t="s">
        <v>148</v>
      </c>
      <c r="X133" s="9" t="s">
        <v>81</v>
      </c>
      <c r="Y133" s="9" t="s">
        <v>151</v>
      </c>
      <c r="Z133" s="9" t="s">
        <v>157</v>
      </c>
      <c r="AA133" s="9" t="s">
        <v>157</v>
      </c>
      <c r="AB133" s="9" t="s">
        <v>450</v>
      </c>
    </row>
    <row r="134" spans="2:28" x14ac:dyDescent="0.3">
      <c r="B134">
        <f t="shared" si="4"/>
        <v>130</v>
      </c>
      <c r="D134" t="s">
        <v>231</v>
      </c>
      <c r="E134" t="s">
        <v>221</v>
      </c>
      <c r="F134" t="s">
        <v>436</v>
      </c>
      <c r="G134" t="s">
        <v>281</v>
      </c>
      <c r="I134" s="25">
        <v>46135</v>
      </c>
      <c r="J134" s="12">
        <v>0</v>
      </c>
      <c r="K134" s="12">
        <v>0</v>
      </c>
      <c r="L134" s="12">
        <v>0</v>
      </c>
      <c r="M134" s="13">
        <v>0</v>
      </c>
      <c r="N134" s="13">
        <v>0</v>
      </c>
      <c r="O134" s="13">
        <f t="shared" si="12"/>
        <v>0</v>
      </c>
      <c r="P134" s="9" t="s">
        <v>25</v>
      </c>
      <c r="Q134" s="13">
        <v>10</v>
      </c>
      <c r="R134" t="s">
        <v>260</v>
      </c>
      <c r="S134" s="9" t="s">
        <v>11</v>
      </c>
      <c r="T134" s="9" t="s">
        <v>33</v>
      </c>
      <c r="U134" s="9"/>
      <c r="V134" s="9" t="s">
        <v>76</v>
      </c>
      <c r="W134" s="9" t="s">
        <v>148</v>
      </c>
      <c r="X134" s="9" t="s">
        <v>81</v>
      </c>
      <c r="Y134" s="9" t="s">
        <v>151</v>
      </c>
      <c r="Z134" s="9" t="s">
        <v>157</v>
      </c>
      <c r="AA134" s="9" t="s">
        <v>157</v>
      </c>
      <c r="AB134" s="9" t="s">
        <v>450</v>
      </c>
    </row>
    <row r="135" spans="2:28" x14ac:dyDescent="0.3">
      <c r="B135">
        <f t="shared" ref="B135:B198" si="13">+B134+1</f>
        <v>131</v>
      </c>
      <c r="D135" t="s">
        <v>368</v>
      </c>
      <c r="E135" t="s">
        <v>217</v>
      </c>
      <c r="F135" t="s">
        <v>437</v>
      </c>
      <c r="G135" t="s">
        <v>411</v>
      </c>
      <c r="I135" s="25">
        <v>46135</v>
      </c>
      <c r="J135" s="12">
        <v>0</v>
      </c>
      <c r="K135" s="12">
        <v>0</v>
      </c>
      <c r="L135" s="12">
        <v>0</v>
      </c>
      <c r="M135" s="13">
        <v>0</v>
      </c>
      <c r="N135" s="13">
        <v>0</v>
      </c>
      <c r="O135" s="13">
        <f t="shared" si="12"/>
        <v>0</v>
      </c>
      <c r="P135" s="9" t="s">
        <v>25</v>
      </c>
      <c r="Q135" s="13">
        <v>8</v>
      </c>
      <c r="R135" t="s">
        <v>260</v>
      </c>
      <c r="S135" s="9" t="s">
        <v>11</v>
      </c>
      <c r="T135" s="9" t="s">
        <v>33</v>
      </c>
      <c r="U135" s="9"/>
      <c r="V135" s="9" t="s">
        <v>76</v>
      </c>
      <c r="W135" s="9" t="s">
        <v>148</v>
      </c>
      <c r="X135" s="9" t="s">
        <v>81</v>
      </c>
      <c r="Y135" s="9" t="s">
        <v>151</v>
      </c>
      <c r="Z135" s="9" t="s">
        <v>157</v>
      </c>
      <c r="AA135" s="9" t="s">
        <v>157</v>
      </c>
      <c r="AB135" s="9" t="s">
        <v>450</v>
      </c>
    </row>
    <row r="136" spans="2:28" x14ac:dyDescent="0.3">
      <c r="B136">
        <f t="shared" si="13"/>
        <v>132</v>
      </c>
      <c r="D136" t="s">
        <v>235</v>
      </c>
      <c r="E136" t="s">
        <v>217</v>
      </c>
      <c r="F136" t="s">
        <v>438</v>
      </c>
      <c r="G136" t="s">
        <v>411</v>
      </c>
      <c r="I136" s="25">
        <v>46135</v>
      </c>
      <c r="J136" s="12">
        <v>0</v>
      </c>
      <c r="K136" s="12">
        <v>0</v>
      </c>
      <c r="L136" s="12">
        <v>0</v>
      </c>
      <c r="M136" s="13">
        <v>0</v>
      </c>
      <c r="N136" s="13">
        <v>0</v>
      </c>
      <c r="O136" s="13">
        <f t="shared" si="12"/>
        <v>0</v>
      </c>
      <c r="P136" s="9" t="s">
        <v>25</v>
      </c>
      <c r="Q136" s="13">
        <v>8</v>
      </c>
      <c r="R136" t="s">
        <v>260</v>
      </c>
      <c r="S136" s="9" t="s">
        <v>11</v>
      </c>
      <c r="T136" s="9" t="s">
        <v>33</v>
      </c>
      <c r="U136" s="9"/>
      <c r="V136" s="9" t="s">
        <v>76</v>
      </c>
      <c r="W136" s="9" t="s">
        <v>148</v>
      </c>
      <c r="X136" s="9" t="s">
        <v>81</v>
      </c>
      <c r="Y136" s="9" t="s">
        <v>151</v>
      </c>
      <c r="Z136" s="9" t="s">
        <v>157</v>
      </c>
      <c r="AA136" s="9" t="s">
        <v>157</v>
      </c>
      <c r="AB136" s="9" t="s">
        <v>450</v>
      </c>
    </row>
    <row r="137" spans="2:28" x14ac:dyDescent="0.3">
      <c r="B137">
        <f t="shared" si="13"/>
        <v>133</v>
      </c>
      <c r="D137" t="s">
        <v>229</v>
      </c>
      <c r="E137" t="s">
        <v>217</v>
      </c>
      <c r="F137" t="s">
        <v>439</v>
      </c>
      <c r="G137" t="s">
        <v>411</v>
      </c>
      <c r="I137" s="25">
        <v>46135</v>
      </c>
      <c r="J137" s="12">
        <v>0</v>
      </c>
      <c r="K137" s="12">
        <v>0</v>
      </c>
      <c r="L137" s="12">
        <v>0</v>
      </c>
      <c r="M137" s="13">
        <v>0</v>
      </c>
      <c r="N137" s="13">
        <v>0</v>
      </c>
      <c r="O137" s="13">
        <f t="shared" si="12"/>
        <v>0</v>
      </c>
      <c r="P137" s="9" t="s">
        <v>25</v>
      </c>
      <c r="Q137" s="13">
        <v>8</v>
      </c>
      <c r="R137" t="s">
        <v>260</v>
      </c>
      <c r="S137" s="9" t="s">
        <v>11</v>
      </c>
      <c r="T137" s="9" t="s">
        <v>33</v>
      </c>
      <c r="U137" s="9"/>
      <c r="V137" s="9" t="s">
        <v>76</v>
      </c>
      <c r="W137" s="9" t="s">
        <v>148</v>
      </c>
      <c r="X137" s="9" t="s">
        <v>81</v>
      </c>
      <c r="Y137" s="9" t="s">
        <v>151</v>
      </c>
      <c r="Z137" s="9" t="s">
        <v>157</v>
      </c>
      <c r="AA137" s="9" t="s">
        <v>157</v>
      </c>
      <c r="AB137" s="9" t="s">
        <v>450</v>
      </c>
    </row>
    <row r="138" spans="2:28" x14ac:dyDescent="0.3">
      <c r="B138">
        <f t="shared" si="13"/>
        <v>134</v>
      </c>
      <c r="D138" t="s">
        <v>223</v>
      </c>
      <c r="E138" t="s">
        <v>221</v>
      </c>
      <c r="F138" t="s">
        <v>440</v>
      </c>
      <c r="G138" t="s">
        <v>281</v>
      </c>
      <c r="I138" s="25">
        <v>46135</v>
      </c>
      <c r="J138" s="12">
        <v>0.67152777777777783</v>
      </c>
      <c r="K138" s="12">
        <v>0.6777777777777777</v>
      </c>
      <c r="L138" s="12">
        <v>0.70833333333333337</v>
      </c>
      <c r="M138" s="13">
        <v>23940</v>
      </c>
      <c r="N138" s="13">
        <v>0</v>
      </c>
      <c r="O138" s="13">
        <f t="shared" si="12"/>
        <v>23940</v>
      </c>
      <c r="P138" s="9" t="s">
        <v>25</v>
      </c>
      <c r="Q138" s="13">
        <v>10</v>
      </c>
      <c r="R138" t="s">
        <v>260</v>
      </c>
      <c r="S138" s="9" t="s">
        <v>11</v>
      </c>
      <c r="T138" s="9" t="s">
        <v>33</v>
      </c>
      <c r="U138" s="9"/>
      <c r="V138" s="9" t="s">
        <v>76</v>
      </c>
      <c r="W138" s="9" t="s">
        <v>148</v>
      </c>
      <c r="X138" s="9" t="s">
        <v>81</v>
      </c>
      <c r="Y138" s="9" t="s">
        <v>151</v>
      </c>
      <c r="Z138" s="9" t="s">
        <v>157</v>
      </c>
      <c r="AA138" s="9" t="s">
        <v>157</v>
      </c>
      <c r="AB138" s="9" t="s">
        <v>450</v>
      </c>
    </row>
    <row r="139" spans="2:28" x14ac:dyDescent="0.3">
      <c r="B139">
        <f t="shared" si="13"/>
        <v>135</v>
      </c>
      <c r="D139" t="s">
        <v>231</v>
      </c>
      <c r="E139" t="s">
        <v>217</v>
      </c>
      <c r="F139" t="s">
        <v>441</v>
      </c>
      <c r="G139" t="s">
        <v>411</v>
      </c>
      <c r="I139" s="25">
        <v>46135</v>
      </c>
      <c r="J139" s="12">
        <v>0.6479166666666667</v>
      </c>
      <c r="K139" s="12">
        <v>0.66527777777777775</v>
      </c>
      <c r="L139" s="12">
        <v>0.70138888888888884</v>
      </c>
      <c r="M139" s="13">
        <v>19660</v>
      </c>
      <c r="N139" s="13">
        <v>0</v>
      </c>
      <c r="O139" s="13">
        <f t="shared" si="12"/>
        <v>19660</v>
      </c>
      <c r="P139" s="9" t="s">
        <v>25</v>
      </c>
      <c r="Q139" s="13">
        <v>8</v>
      </c>
      <c r="R139" t="s">
        <v>260</v>
      </c>
      <c r="S139" s="9" t="s">
        <v>11</v>
      </c>
      <c r="T139" s="9" t="s">
        <v>33</v>
      </c>
      <c r="U139" s="9"/>
      <c r="V139" s="9" t="s">
        <v>76</v>
      </c>
      <c r="W139" s="9" t="s">
        <v>148</v>
      </c>
      <c r="X139" s="9" t="s">
        <v>81</v>
      </c>
      <c r="Y139" s="9" t="s">
        <v>151</v>
      </c>
      <c r="Z139" s="9" t="s">
        <v>157</v>
      </c>
      <c r="AA139" s="9" t="s">
        <v>157</v>
      </c>
      <c r="AB139" s="9" t="s">
        <v>450</v>
      </c>
    </row>
    <row r="140" spans="2:28" x14ac:dyDescent="0.3">
      <c r="B140">
        <f t="shared" si="13"/>
        <v>136</v>
      </c>
      <c r="D140" t="s">
        <v>251</v>
      </c>
      <c r="E140" t="s">
        <v>217</v>
      </c>
      <c r="F140" t="s">
        <v>442</v>
      </c>
      <c r="G140" t="s">
        <v>411</v>
      </c>
      <c r="I140" s="25">
        <v>46135</v>
      </c>
      <c r="J140" s="12">
        <v>0</v>
      </c>
      <c r="K140" s="12">
        <v>0</v>
      </c>
      <c r="L140" s="12">
        <v>0</v>
      </c>
      <c r="M140" s="13">
        <v>0</v>
      </c>
      <c r="N140" s="13">
        <v>0</v>
      </c>
      <c r="O140" s="13">
        <v>0</v>
      </c>
      <c r="P140" s="9" t="s">
        <v>25</v>
      </c>
      <c r="Q140" s="13">
        <v>8</v>
      </c>
      <c r="R140" t="s">
        <v>260</v>
      </c>
      <c r="S140" s="9" t="s">
        <v>11</v>
      </c>
      <c r="T140" s="9" t="s">
        <v>33</v>
      </c>
      <c r="U140" s="9"/>
      <c r="V140" s="9" t="s">
        <v>76</v>
      </c>
      <c r="W140" s="9" t="s">
        <v>148</v>
      </c>
      <c r="X140" s="9" t="s">
        <v>81</v>
      </c>
      <c r="Y140" s="9" t="s">
        <v>151</v>
      </c>
      <c r="Z140" s="9" t="s">
        <v>157</v>
      </c>
      <c r="AA140" s="9" t="s">
        <v>157</v>
      </c>
      <c r="AB140" s="9" t="s">
        <v>450</v>
      </c>
    </row>
    <row r="141" spans="2:28" x14ac:dyDescent="0.3">
      <c r="B141">
        <f t="shared" si="13"/>
        <v>137</v>
      </c>
      <c r="D141" t="s">
        <v>368</v>
      </c>
      <c r="E141" t="s">
        <v>217</v>
      </c>
      <c r="F141" t="s">
        <v>443</v>
      </c>
      <c r="G141" t="s">
        <v>411</v>
      </c>
      <c r="I141" s="25">
        <v>46135</v>
      </c>
      <c r="J141" s="12">
        <v>0.61458333333333337</v>
      </c>
      <c r="K141" s="12">
        <v>0.64236111111111105</v>
      </c>
      <c r="L141" s="12">
        <v>0.65833333333333333</v>
      </c>
      <c r="M141" s="13">
        <v>19360</v>
      </c>
      <c r="N141" s="13">
        <v>0</v>
      </c>
      <c r="O141" s="13">
        <f t="shared" si="12"/>
        <v>19360</v>
      </c>
      <c r="P141" s="9" t="s">
        <v>25</v>
      </c>
      <c r="Q141" s="13">
        <v>8</v>
      </c>
      <c r="R141" t="s">
        <v>260</v>
      </c>
      <c r="S141" s="9" t="s">
        <v>11</v>
      </c>
      <c r="T141" s="9" t="s">
        <v>33</v>
      </c>
      <c r="U141" s="9"/>
      <c r="V141" s="9" t="s">
        <v>76</v>
      </c>
      <c r="W141" s="9" t="s">
        <v>148</v>
      </c>
      <c r="X141" s="9" t="s">
        <v>81</v>
      </c>
      <c r="Y141" s="9" t="s">
        <v>151</v>
      </c>
      <c r="Z141" s="9" t="s">
        <v>157</v>
      </c>
      <c r="AA141" s="9" t="s">
        <v>157</v>
      </c>
      <c r="AB141" s="9" t="s">
        <v>450</v>
      </c>
    </row>
    <row r="142" spans="2:28" x14ac:dyDescent="0.3">
      <c r="B142">
        <f t="shared" si="13"/>
        <v>138</v>
      </c>
      <c r="D142" t="s">
        <v>235</v>
      </c>
      <c r="E142" t="s">
        <v>221</v>
      </c>
      <c r="F142" t="s">
        <v>444</v>
      </c>
      <c r="G142" t="s">
        <v>502</v>
      </c>
      <c r="I142" s="25">
        <v>46135</v>
      </c>
      <c r="J142" s="12">
        <v>0.59027777777777779</v>
      </c>
      <c r="K142" s="12">
        <v>0.62013888888888891</v>
      </c>
      <c r="L142" s="12">
        <v>0.6333333333333333</v>
      </c>
      <c r="M142" s="13">
        <v>18920</v>
      </c>
      <c r="N142" s="13">
        <v>0</v>
      </c>
      <c r="O142" s="13">
        <f t="shared" si="12"/>
        <v>18920</v>
      </c>
      <c r="P142" s="9" t="s">
        <v>25</v>
      </c>
      <c r="Q142" s="13">
        <v>8</v>
      </c>
      <c r="R142" t="s">
        <v>260</v>
      </c>
      <c r="S142" s="9" t="s">
        <v>11</v>
      </c>
      <c r="T142" s="9"/>
      <c r="U142" s="9"/>
      <c r="V142" s="9" t="s">
        <v>76</v>
      </c>
      <c r="W142" s="9" t="s">
        <v>148</v>
      </c>
      <c r="X142" s="9" t="s">
        <v>81</v>
      </c>
      <c r="Y142" s="9" t="s">
        <v>151</v>
      </c>
      <c r="Z142" s="9" t="s">
        <v>157</v>
      </c>
      <c r="AA142" s="9" t="s">
        <v>157</v>
      </c>
      <c r="AB142" s="9" t="s">
        <v>450</v>
      </c>
    </row>
    <row r="143" spans="2:28" x14ac:dyDescent="0.3">
      <c r="B143">
        <f t="shared" si="13"/>
        <v>139</v>
      </c>
      <c r="D143" t="s">
        <v>216</v>
      </c>
      <c r="E143" t="s">
        <v>221</v>
      </c>
      <c r="F143" t="s">
        <v>445</v>
      </c>
      <c r="G143" t="s">
        <v>502</v>
      </c>
      <c r="I143" s="25">
        <v>46135</v>
      </c>
      <c r="J143" s="12">
        <v>0.58680555555555558</v>
      </c>
      <c r="K143" s="12">
        <v>0.61041666666666672</v>
      </c>
      <c r="L143" s="12">
        <v>0.62222222222222223</v>
      </c>
      <c r="M143" s="13">
        <v>18960</v>
      </c>
      <c r="N143" s="13">
        <v>0</v>
      </c>
      <c r="O143" s="13">
        <f t="shared" si="12"/>
        <v>18960</v>
      </c>
      <c r="P143" s="9" t="s">
        <v>25</v>
      </c>
      <c r="Q143" s="13">
        <v>8</v>
      </c>
      <c r="R143" t="s">
        <v>260</v>
      </c>
      <c r="S143" s="9" t="s">
        <v>11</v>
      </c>
      <c r="T143" s="9"/>
      <c r="U143" s="9"/>
      <c r="V143" s="9" t="s">
        <v>76</v>
      </c>
      <c r="W143" s="9" t="s">
        <v>148</v>
      </c>
      <c r="X143" s="9" t="s">
        <v>81</v>
      </c>
      <c r="Y143" s="9" t="s">
        <v>151</v>
      </c>
      <c r="Z143" s="9" t="s">
        <v>157</v>
      </c>
      <c r="AA143" s="9" t="s">
        <v>157</v>
      </c>
      <c r="AB143" s="9" t="s">
        <v>450</v>
      </c>
    </row>
    <row r="144" spans="2:28" x14ac:dyDescent="0.3">
      <c r="B144">
        <f t="shared" si="13"/>
        <v>140</v>
      </c>
      <c r="D144" t="s">
        <v>231</v>
      </c>
      <c r="E144" t="s">
        <v>221</v>
      </c>
      <c r="F144" t="s">
        <v>446</v>
      </c>
      <c r="G144" t="s">
        <v>502</v>
      </c>
      <c r="I144" s="25">
        <v>46135</v>
      </c>
      <c r="J144" s="12">
        <v>0.58194444444444449</v>
      </c>
      <c r="K144" s="12">
        <v>0.60902777777777783</v>
      </c>
      <c r="L144" s="12">
        <v>0.61805555555555558</v>
      </c>
      <c r="M144" s="13">
        <v>18600</v>
      </c>
      <c r="N144" s="13">
        <v>0</v>
      </c>
      <c r="O144" s="13">
        <f t="shared" si="12"/>
        <v>18600</v>
      </c>
      <c r="P144" s="9" t="s">
        <v>25</v>
      </c>
      <c r="Q144" s="13">
        <v>8</v>
      </c>
      <c r="R144" t="s">
        <v>260</v>
      </c>
      <c r="S144" s="9" t="s">
        <v>11</v>
      </c>
      <c r="T144" s="9"/>
      <c r="U144" s="9"/>
      <c r="V144" s="9" t="s">
        <v>76</v>
      </c>
      <c r="W144" s="9" t="s">
        <v>148</v>
      </c>
      <c r="X144" s="9" t="s">
        <v>81</v>
      </c>
      <c r="Y144" s="9" t="s">
        <v>151</v>
      </c>
      <c r="Z144" s="9" t="s">
        <v>157</v>
      </c>
      <c r="AA144" s="9" t="s">
        <v>157</v>
      </c>
      <c r="AB144" s="9" t="s">
        <v>450</v>
      </c>
    </row>
    <row r="145" spans="2:28" x14ac:dyDescent="0.3">
      <c r="B145">
        <f t="shared" si="13"/>
        <v>141</v>
      </c>
      <c r="D145" t="s">
        <v>251</v>
      </c>
      <c r="E145" t="s">
        <v>221</v>
      </c>
      <c r="F145" t="s">
        <v>447</v>
      </c>
      <c r="G145" t="s">
        <v>281</v>
      </c>
      <c r="I145" s="25">
        <v>46135</v>
      </c>
      <c r="J145" s="12">
        <v>0.59097222222222223</v>
      </c>
      <c r="K145" s="12">
        <v>0.59583333333333333</v>
      </c>
      <c r="L145" s="12">
        <v>0.6069444444444444</v>
      </c>
      <c r="M145" s="13">
        <v>24100</v>
      </c>
      <c r="N145" s="13">
        <v>0</v>
      </c>
      <c r="O145" s="13">
        <f t="shared" si="12"/>
        <v>24100</v>
      </c>
      <c r="P145" s="9" t="s">
        <v>25</v>
      </c>
      <c r="Q145" s="13">
        <v>10</v>
      </c>
      <c r="R145" t="s">
        <v>260</v>
      </c>
      <c r="S145" s="9" t="s">
        <v>11</v>
      </c>
      <c r="T145" s="9" t="s">
        <v>33</v>
      </c>
      <c r="U145" s="9"/>
      <c r="V145" s="9" t="s">
        <v>76</v>
      </c>
      <c r="W145" s="9" t="s">
        <v>148</v>
      </c>
      <c r="X145" s="9" t="s">
        <v>81</v>
      </c>
      <c r="Y145" s="9" t="s">
        <v>151</v>
      </c>
      <c r="Z145" s="9" t="s">
        <v>157</v>
      </c>
      <c r="AA145" s="9" t="s">
        <v>157</v>
      </c>
      <c r="AB145" s="9" t="s">
        <v>450</v>
      </c>
    </row>
    <row r="146" spans="2:28" x14ac:dyDescent="0.3">
      <c r="B146">
        <f t="shared" si="13"/>
        <v>142</v>
      </c>
      <c r="D146" t="s">
        <v>368</v>
      </c>
      <c r="E146" t="s">
        <v>221</v>
      </c>
      <c r="F146" t="s">
        <v>448</v>
      </c>
      <c r="G146" t="s">
        <v>281</v>
      </c>
      <c r="I146" s="25">
        <v>46135</v>
      </c>
      <c r="J146" s="12">
        <v>0.57430555555555551</v>
      </c>
      <c r="K146" s="12">
        <v>0.58194444444444449</v>
      </c>
      <c r="L146" s="12">
        <v>0.59930555555555554</v>
      </c>
      <c r="M146" s="13">
        <v>23980</v>
      </c>
      <c r="N146" s="13">
        <v>0</v>
      </c>
      <c r="O146" s="13">
        <f t="shared" si="12"/>
        <v>23980</v>
      </c>
      <c r="P146" s="9" t="s">
        <v>25</v>
      </c>
      <c r="Q146" s="13">
        <v>10</v>
      </c>
      <c r="R146" t="s">
        <v>260</v>
      </c>
      <c r="S146" s="9" t="s">
        <v>11</v>
      </c>
      <c r="T146" s="9" t="s">
        <v>33</v>
      </c>
      <c r="U146" s="9"/>
      <c r="V146" s="9" t="s">
        <v>76</v>
      </c>
      <c r="W146" s="9" t="s">
        <v>148</v>
      </c>
      <c r="X146" s="9" t="s">
        <v>81</v>
      </c>
      <c r="Y146" s="9" t="s">
        <v>151</v>
      </c>
      <c r="Z146" s="9" t="s">
        <v>157</v>
      </c>
      <c r="AA146" s="9" t="s">
        <v>157</v>
      </c>
      <c r="AB146" s="9" t="s">
        <v>450</v>
      </c>
    </row>
    <row r="147" spans="2:28" x14ac:dyDescent="0.3">
      <c r="B147">
        <f t="shared" si="13"/>
        <v>143</v>
      </c>
      <c r="D147" t="s">
        <v>229</v>
      </c>
      <c r="E147" t="s">
        <v>221</v>
      </c>
      <c r="F147" t="s">
        <v>449</v>
      </c>
      <c r="G147" t="s">
        <v>281</v>
      </c>
      <c r="I147" s="25">
        <v>46135</v>
      </c>
      <c r="J147" s="12">
        <v>0.56805555555555554</v>
      </c>
      <c r="K147" s="12">
        <v>0.58124999999999993</v>
      </c>
      <c r="L147" s="12">
        <v>0.59375</v>
      </c>
      <c r="M147" s="13">
        <v>24140</v>
      </c>
      <c r="N147" s="13">
        <v>0</v>
      </c>
      <c r="O147" s="13">
        <f t="shared" si="12"/>
        <v>24140</v>
      </c>
      <c r="P147" s="9" t="s">
        <v>25</v>
      </c>
      <c r="Q147" s="13">
        <v>10</v>
      </c>
      <c r="R147" t="s">
        <v>260</v>
      </c>
      <c r="S147" s="9" t="s">
        <v>11</v>
      </c>
      <c r="T147" s="9" t="s">
        <v>33</v>
      </c>
      <c r="U147" s="9"/>
      <c r="V147" s="9" t="s">
        <v>76</v>
      </c>
      <c r="W147" s="9" t="s">
        <v>148</v>
      </c>
      <c r="X147" s="9" t="s">
        <v>81</v>
      </c>
      <c r="Y147" s="9" t="s">
        <v>151</v>
      </c>
      <c r="Z147" s="9" t="s">
        <v>157</v>
      </c>
      <c r="AA147" s="9" t="s">
        <v>157</v>
      </c>
      <c r="AB147" s="9" t="s">
        <v>450</v>
      </c>
    </row>
    <row r="148" spans="2:28" x14ac:dyDescent="0.3">
      <c r="B148">
        <f t="shared" si="13"/>
        <v>144</v>
      </c>
      <c r="D148" t="s">
        <v>216</v>
      </c>
      <c r="E148" t="s">
        <v>217</v>
      </c>
      <c r="F148" t="s">
        <v>451</v>
      </c>
      <c r="G148" t="s">
        <v>411</v>
      </c>
      <c r="I148" s="25">
        <v>46135</v>
      </c>
      <c r="J148" s="12">
        <v>0.82430555555555562</v>
      </c>
      <c r="K148" s="12">
        <v>0.84097222222222223</v>
      </c>
      <c r="L148" s="12">
        <v>0.8666666666666667</v>
      </c>
      <c r="M148" s="13">
        <v>11240</v>
      </c>
      <c r="N148" s="13">
        <v>0</v>
      </c>
      <c r="O148" s="13">
        <f t="shared" si="12"/>
        <v>11240</v>
      </c>
      <c r="P148" s="9" t="s">
        <v>24</v>
      </c>
      <c r="Q148" s="13">
        <v>7</v>
      </c>
      <c r="R148" t="s">
        <v>260</v>
      </c>
      <c r="S148" s="9" t="s">
        <v>11</v>
      </c>
      <c r="T148" s="9" t="s">
        <v>30</v>
      </c>
      <c r="U148" s="9"/>
      <c r="V148" s="9" t="s">
        <v>76</v>
      </c>
      <c r="W148" s="9" t="s">
        <v>146</v>
      </c>
      <c r="X148" s="9" t="s">
        <v>91</v>
      </c>
      <c r="Y148" s="9" t="s">
        <v>152</v>
      </c>
      <c r="Z148" s="9" t="s">
        <v>161</v>
      </c>
      <c r="AA148" s="9" t="s">
        <v>161</v>
      </c>
      <c r="AB148" s="9" t="s">
        <v>372</v>
      </c>
    </row>
    <row r="149" spans="2:28" x14ac:dyDescent="0.3">
      <c r="B149">
        <f t="shared" si="13"/>
        <v>145</v>
      </c>
      <c r="D149" t="s">
        <v>229</v>
      </c>
      <c r="E149" t="s">
        <v>217</v>
      </c>
      <c r="F149" t="s">
        <v>456</v>
      </c>
      <c r="G149" t="s">
        <v>411</v>
      </c>
      <c r="I149" s="25">
        <v>46135</v>
      </c>
      <c r="J149" s="12">
        <v>0.77083333333333337</v>
      </c>
      <c r="K149" s="12">
        <v>0.79513888888888884</v>
      </c>
      <c r="L149" s="12">
        <v>0.84861111111111109</v>
      </c>
      <c r="M149" s="13">
        <v>20440</v>
      </c>
      <c r="N149" s="13">
        <v>0</v>
      </c>
      <c r="O149" s="13">
        <f t="shared" si="12"/>
        <v>20440</v>
      </c>
      <c r="P149" s="9" t="s">
        <v>24</v>
      </c>
      <c r="Q149" s="13">
        <v>8.5</v>
      </c>
      <c r="R149" t="s">
        <v>260</v>
      </c>
      <c r="S149" s="9" t="s">
        <v>11</v>
      </c>
      <c r="T149" s="9" t="s">
        <v>30</v>
      </c>
      <c r="U149" s="9"/>
      <c r="V149" s="9" t="s">
        <v>76</v>
      </c>
      <c r="W149" s="9" t="s">
        <v>146</v>
      </c>
      <c r="X149" s="9" t="s">
        <v>91</v>
      </c>
      <c r="Y149" s="9" t="s">
        <v>152</v>
      </c>
      <c r="Z149" s="9" t="s">
        <v>161</v>
      </c>
      <c r="AA149" s="9" t="s">
        <v>161</v>
      </c>
      <c r="AB149" s="9" t="s">
        <v>372</v>
      </c>
    </row>
    <row r="150" spans="2:28" x14ac:dyDescent="0.3">
      <c r="B150">
        <f t="shared" si="13"/>
        <v>146</v>
      </c>
      <c r="D150" t="s">
        <v>235</v>
      </c>
      <c r="E150" t="s">
        <v>217</v>
      </c>
      <c r="F150" t="s">
        <v>452</v>
      </c>
      <c r="G150" t="s">
        <v>281</v>
      </c>
      <c r="I150" s="25">
        <v>46135</v>
      </c>
      <c r="J150" s="12">
        <v>0.77847222222222223</v>
      </c>
      <c r="K150" s="12">
        <v>0.78611111111111109</v>
      </c>
      <c r="L150" s="12">
        <v>0.84166666666666667</v>
      </c>
      <c r="M150" s="13">
        <v>23820</v>
      </c>
      <c r="N150" s="13">
        <v>0</v>
      </c>
      <c r="O150" s="13">
        <f t="shared" si="12"/>
        <v>23820</v>
      </c>
      <c r="P150" s="9" t="s">
        <v>24</v>
      </c>
      <c r="Q150" s="13">
        <v>10</v>
      </c>
      <c r="R150" t="s">
        <v>260</v>
      </c>
      <c r="S150" s="9" t="s">
        <v>11</v>
      </c>
      <c r="T150" s="9" t="s">
        <v>30</v>
      </c>
      <c r="U150" s="9"/>
      <c r="V150" s="9" t="s">
        <v>76</v>
      </c>
      <c r="W150" s="9" t="s">
        <v>146</v>
      </c>
      <c r="X150" s="9" t="s">
        <v>91</v>
      </c>
      <c r="Y150" s="9" t="s">
        <v>152</v>
      </c>
      <c r="Z150" s="9" t="s">
        <v>161</v>
      </c>
      <c r="AA150" s="9" t="s">
        <v>161</v>
      </c>
      <c r="AB150" s="9" t="s">
        <v>372</v>
      </c>
    </row>
    <row r="151" spans="2:28" x14ac:dyDescent="0.3">
      <c r="B151">
        <f t="shared" si="13"/>
        <v>147</v>
      </c>
      <c r="D151" t="s">
        <v>368</v>
      </c>
      <c r="E151" t="s">
        <v>217</v>
      </c>
      <c r="F151" t="s">
        <v>453</v>
      </c>
      <c r="G151" t="s">
        <v>411</v>
      </c>
      <c r="I151" s="25">
        <v>46135</v>
      </c>
      <c r="J151" s="12">
        <v>0.76666666666666661</v>
      </c>
      <c r="K151" s="12">
        <v>0.78263888888888899</v>
      </c>
      <c r="L151" s="12">
        <v>0.82708333333333339</v>
      </c>
      <c r="M151" s="13">
        <v>20420</v>
      </c>
      <c r="N151" s="13">
        <v>0</v>
      </c>
      <c r="O151" s="13">
        <f t="shared" si="12"/>
        <v>20420</v>
      </c>
      <c r="P151" s="9" t="s">
        <v>24</v>
      </c>
      <c r="Q151" s="13">
        <v>8.5</v>
      </c>
      <c r="R151" t="s">
        <v>260</v>
      </c>
      <c r="S151" s="9" t="s">
        <v>11</v>
      </c>
      <c r="T151" s="9" t="s">
        <v>30</v>
      </c>
      <c r="U151" s="9"/>
      <c r="V151" s="9" t="s">
        <v>76</v>
      </c>
      <c r="W151" s="9" t="s">
        <v>146</v>
      </c>
      <c r="X151" s="9" t="s">
        <v>91</v>
      </c>
      <c r="Y151" s="9" t="s">
        <v>152</v>
      </c>
      <c r="Z151" s="9" t="s">
        <v>161</v>
      </c>
      <c r="AA151" s="9" t="s">
        <v>161</v>
      </c>
      <c r="AB151" s="9" t="s">
        <v>372</v>
      </c>
    </row>
    <row r="152" spans="2:28" x14ac:dyDescent="0.3">
      <c r="B152">
        <f t="shared" si="13"/>
        <v>148</v>
      </c>
      <c r="D152" t="s">
        <v>223</v>
      </c>
      <c r="E152" t="s">
        <v>217</v>
      </c>
      <c r="F152" t="s">
        <v>454</v>
      </c>
      <c r="G152" t="s">
        <v>281</v>
      </c>
      <c r="I152" s="25">
        <v>46135</v>
      </c>
      <c r="J152" s="12">
        <v>0.7729166666666667</v>
      </c>
      <c r="K152" s="12">
        <v>0.77708333333333324</v>
      </c>
      <c r="L152" s="12">
        <v>0.81527777777777777</v>
      </c>
      <c r="M152" s="13">
        <v>23940</v>
      </c>
      <c r="N152" s="13">
        <v>0</v>
      </c>
      <c r="O152" s="13">
        <f t="shared" si="12"/>
        <v>23940</v>
      </c>
      <c r="P152" s="9" t="s">
        <v>24</v>
      </c>
      <c r="Q152" s="13">
        <v>10</v>
      </c>
      <c r="R152" t="s">
        <v>260</v>
      </c>
      <c r="S152" s="9" t="s">
        <v>11</v>
      </c>
      <c r="T152" s="9" t="s">
        <v>30</v>
      </c>
      <c r="U152" s="9"/>
      <c r="V152" s="9" t="s">
        <v>76</v>
      </c>
      <c r="W152" s="9" t="s">
        <v>146</v>
      </c>
      <c r="X152" s="9" t="s">
        <v>91</v>
      </c>
      <c r="Y152" s="9" t="s">
        <v>152</v>
      </c>
      <c r="Z152" s="9" t="s">
        <v>161</v>
      </c>
      <c r="AA152" s="9" t="s">
        <v>161</v>
      </c>
      <c r="AB152" s="9" t="s">
        <v>372</v>
      </c>
    </row>
    <row r="153" spans="2:28" x14ac:dyDescent="0.3">
      <c r="B153">
        <f t="shared" si="13"/>
        <v>149</v>
      </c>
      <c r="D153" t="s">
        <v>216</v>
      </c>
      <c r="E153" t="s">
        <v>217</v>
      </c>
      <c r="F153" t="s">
        <v>455</v>
      </c>
      <c r="G153" t="s">
        <v>281</v>
      </c>
      <c r="I153" s="25">
        <v>46135</v>
      </c>
      <c r="J153" s="12">
        <v>0.76736111111111116</v>
      </c>
      <c r="K153" s="12">
        <v>0.77708333333333324</v>
      </c>
      <c r="L153" s="12">
        <v>0.80902777777777779</v>
      </c>
      <c r="M153" s="13">
        <v>23880</v>
      </c>
      <c r="N153" s="13">
        <v>0</v>
      </c>
      <c r="O153" s="13">
        <f t="shared" si="12"/>
        <v>23880</v>
      </c>
      <c r="P153" s="9" t="s">
        <v>24</v>
      </c>
      <c r="Q153" s="13">
        <v>10</v>
      </c>
      <c r="R153" t="s">
        <v>260</v>
      </c>
      <c r="S153" s="9" t="s">
        <v>11</v>
      </c>
      <c r="T153" s="9" t="s">
        <v>30</v>
      </c>
      <c r="U153" s="9"/>
      <c r="V153" s="9" t="s">
        <v>76</v>
      </c>
      <c r="W153" s="9" t="s">
        <v>146</v>
      </c>
      <c r="X153" s="9" t="s">
        <v>91</v>
      </c>
      <c r="Y153" s="9" t="s">
        <v>152</v>
      </c>
      <c r="Z153" s="9" t="s">
        <v>161</v>
      </c>
      <c r="AA153" s="9" t="s">
        <v>161</v>
      </c>
      <c r="AB153" s="9" t="s">
        <v>372</v>
      </c>
    </row>
    <row r="154" spans="2:28" x14ac:dyDescent="0.3">
      <c r="B154">
        <f t="shared" si="13"/>
        <v>150</v>
      </c>
      <c r="D154" t="s">
        <v>368</v>
      </c>
      <c r="E154" t="s">
        <v>221</v>
      </c>
      <c r="F154" t="s">
        <v>457</v>
      </c>
      <c r="G154" t="s">
        <v>281</v>
      </c>
      <c r="I154" s="25">
        <v>46136</v>
      </c>
      <c r="J154" s="12">
        <v>0.77500000000000002</v>
      </c>
      <c r="K154" s="12">
        <v>0.77847222222222223</v>
      </c>
      <c r="L154" s="12">
        <v>0.79583333333333339</v>
      </c>
      <c r="M154" s="13">
        <v>5900</v>
      </c>
      <c r="N154" s="13">
        <v>0</v>
      </c>
      <c r="O154" s="13">
        <f t="shared" si="12"/>
        <v>5900</v>
      </c>
      <c r="P154" s="9" t="s">
        <v>24</v>
      </c>
      <c r="Q154" s="13">
        <v>6</v>
      </c>
      <c r="R154" t="s">
        <v>260</v>
      </c>
      <c r="S154" s="9" t="s">
        <v>11</v>
      </c>
      <c r="T154" s="9"/>
      <c r="U154" s="9"/>
      <c r="V154" s="9" t="s">
        <v>197</v>
      </c>
      <c r="W154" s="9" t="s">
        <v>149</v>
      </c>
      <c r="X154" s="9" t="s">
        <v>122</v>
      </c>
      <c r="Y154" s="9" t="s">
        <v>150</v>
      </c>
      <c r="Z154" s="9" t="s">
        <v>157</v>
      </c>
      <c r="AA154" s="9" t="s">
        <v>157</v>
      </c>
      <c r="AB154" s="9" t="s">
        <v>459</v>
      </c>
    </row>
    <row r="155" spans="2:28" x14ac:dyDescent="0.3">
      <c r="B155">
        <f t="shared" si="13"/>
        <v>151</v>
      </c>
      <c r="D155" t="s">
        <v>368</v>
      </c>
      <c r="E155" t="s">
        <v>221</v>
      </c>
      <c r="F155" t="s">
        <v>458</v>
      </c>
      <c r="G155" t="s">
        <v>281</v>
      </c>
      <c r="I155" s="25">
        <v>46136</v>
      </c>
      <c r="J155" s="12">
        <v>0</v>
      </c>
      <c r="K155" s="12">
        <v>0</v>
      </c>
      <c r="L155" s="12">
        <v>0</v>
      </c>
      <c r="M155" s="13">
        <v>0</v>
      </c>
      <c r="N155" s="13">
        <v>0</v>
      </c>
      <c r="O155" s="13">
        <f t="shared" si="12"/>
        <v>0</v>
      </c>
      <c r="P155" s="9" t="s">
        <v>24</v>
      </c>
      <c r="Q155" s="13">
        <v>10</v>
      </c>
      <c r="R155" t="s">
        <v>260</v>
      </c>
      <c r="S155" s="9" t="s">
        <v>11</v>
      </c>
      <c r="T155" s="9"/>
      <c r="U155" s="9"/>
      <c r="V155" s="9" t="s">
        <v>197</v>
      </c>
      <c r="W155" s="9" t="s">
        <v>149</v>
      </c>
      <c r="X155" s="9" t="s">
        <v>122</v>
      </c>
      <c r="Y155" s="9" t="s">
        <v>150</v>
      </c>
      <c r="Z155" s="9" t="s">
        <v>157</v>
      </c>
      <c r="AA155" s="9" t="s">
        <v>157</v>
      </c>
      <c r="AB155" s="9" t="s">
        <v>459</v>
      </c>
    </row>
    <row r="156" spans="2:28" x14ac:dyDescent="0.3">
      <c r="B156">
        <f t="shared" si="13"/>
        <v>152</v>
      </c>
      <c r="D156" t="s">
        <v>233</v>
      </c>
      <c r="E156" t="s">
        <v>221</v>
      </c>
      <c r="F156" t="s">
        <v>461</v>
      </c>
      <c r="G156" t="s">
        <v>281</v>
      </c>
      <c r="I156" s="25">
        <v>46137</v>
      </c>
      <c r="J156" s="12">
        <v>0</v>
      </c>
      <c r="K156" s="12">
        <v>0</v>
      </c>
      <c r="L156" s="12">
        <v>0</v>
      </c>
      <c r="M156" s="13">
        <v>0</v>
      </c>
      <c r="N156" s="13">
        <v>0</v>
      </c>
      <c r="O156" s="13">
        <f t="shared" si="12"/>
        <v>0</v>
      </c>
      <c r="P156" s="9" t="s">
        <v>24</v>
      </c>
      <c r="Q156" s="13">
        <v>10</v>
      </c>
      <c r="R156" t="s">
        <v>260</v>
      </c>
      <c r="S156" s="9" t="s">
        <v>11</v>
      </c>
      <c r="T156" s="9"/>
      <c r="U156" s="9"/>
      <c r="V156" s="9" t="s">
        <v>76</v>
      </c>
      <c r="W156" s="9" t="s">
        <v>146</v>
      </c>
      <c r="X156" s="9" t="s">
        <v>91</v>
      </c>
      <c r="Y156" s="9" t="s">
        <v>151</v>
      </c>
      <c r="Z156" s="9" t="s">
        <v>161</v>
      </c>
      <c r="AA156" s="9" t="s">
        <v>161</v>
      </c>
      <c r="AB156" s="9" t="s">
        <v>372</v>
      </c>
    </row>
    <row r="157" spans="2:28" x14ac:dyDescent="0.3">
      <c r="B157">
        <f t="shared" si="13"/>
        <v>153</v>
      </c>
      <c r="D157" t="s">
        <v>251</v>
      </c>
      <c r="E157" t="s">
        <v>221</v>
      </c>
      <c r="F157" t="s">
        <v>460</v>
      </c>
      <c r="G157" t="s">
        <v>281</v>
      </c>
      <c r="I157" s="25">
        <v>46137</v>
      </c>
      <c r="J157" s="12">
        <v>0.7583333333333333</v>
      </c>
      <c r="K157" s="12">
        <v>0.76388888888888884</v>
      </c>
      <c r="L157" s="12">
        <v>0.77708333333333324</v>
      </c>
      <c r="M157" s="13">
        <v>23740</v>
      </c>
      <c r="N157" s="13">
        <v>0</v>
      </c>
      <c r="O157" s="13">
        <f t="shared" si="12"/>
        <v>23740</v>
      </c>
      <c r="P157" s="9" t="s">
        <v>24</v>
      </c>
      <c r="Q157" s="13">
        <v>10</v>
      </c>
      <c r="R157" t="s">
        <v>260</v>
      </c>
      <c r="S157" s="9" t="s">
        <v>11</v>
      </c>
      <c r="T157" s="9"/>
      <c r="U157" s="9"/>
      <c r="V157" s="9" t="s">
        <v>76</v>
      </c>
      <c r="W157" s="9" t="s">
        <v>146</v>
      </c>
      <c r="X157" s="9" t="s">
        <v>91</v>
      </c>
      <c r="Y157" s="9" t="s">
        <v>151</v>
      </c>
      <c r="Z157" s="9" t="s">
        <v>161</v>
      </c>
      <c r="AA157" s="9" t="s">
        <v>161</v>
      </c>
      <c r="AB157" s="9" t="s">
        <v>372</v>
      </c>
    </row>
    <row r="158" spans="2:28" x14ac:dyDescent="0.3">
      <c r="B158">
        <f t="shared" si="13"/>
        <v>154</v>
      </c>
      <c r="D158" t="s">
        <v>368</v>
      </c>
      <c r="E158" t="s">
        <v>221</v>
      </c>
      <c r="F158" t="s">
        <v>462</v>
      </c>
      <c r="G158" t="s">
        <v>281</v>
      </c>
      <c r="I158" s="25">
        <v>46137</v>
      </c>
      <c r="J158" s="12">
        <v>0.7583333333333333</v>
      </c>
      <c r="K158" s="12">
        <v>0.7729166666666667</v>
      </c>
      <c r="L158" s="12">
        <v>0.79513888888888884</v>
      </c>
      <c r="M158" s="13">
        <v>24140</v>
      </c>
      <c r="N158" s="13">
        <v>0</v>
      </c>
      <c r="O158" s="13">
        <f t="shared" si="12"/>
        <v>24140</v>
      </c>
      <c r="P158" s="9" t="s">
        <v>24</v>
      </c>
      <c r="Q158" s="13">
        <v>7</v>
      </c>
      <c r="R158" t="s">
        <v>260</v>
      </c>
      <c r="S158" s="9" t="s">
        <v>11</v>
      </c>
      <c r="T158" s="9"/>
      <c r="U158" s="9"/>
      <c r="V158" s="9" t="s">
        <v>76</v>
      </c>
      <c r="W158" s="9" t="s">
        <v>146</v>
      </c>
      <c r="X158" s="9" t="s">
        <v>91</v>
      </c>
      <c r="Y158" s="9" t="s">
        <v>151</v>
      </c>
      <c r="Z158" s="9" t="s">
        <v>161</v>
      </c>
      <c r="AA158" s="9" t="s">
        <v>161</v>
      </c>
      <c r="AB158" s="9" t="s">
        <v>372</v>
      </c>
    </row>
    <row r="159" spans="2:28" x14ac:dyDescent="0.3">
      <c r="B159">
        <f t="shared" si="13"/>
        <v>155</v>
      </c>
      <c r="D159" t="s">
        <v>231</v>
      </c>
      <c r="E159" t="s">
        <v>221</v>
      </c>
      <c r="F159" t="s">
        <v>463</v>
      </c>
      <c r="G159" t="s">
        <v>281</v>
      </c>
      <c r="I159" s="25">
        <v>46137</v>
      </c>
      <c r="J159" s="12">
        <v>0.76458333333333339</v>
      </c>
      <c r="K159" s="12">
        <v>0.80347222222222225</v>
      </c>
      <c r="L159" s="12">
        <v>0.81666666666666676</v>
      </c>
      <c r="M159" s="13">
        <v>9860</v>
      </c>
      <c r="N159" s="13">
        <v>0</v>
      </c>
      <c r="O159" s="13">
        <f t="shared" si="12"/>
        <v>9860</v>
      </c>
      <c r="P159" s="9" t="s">
        <v>24</v>
      </c>
      <c r="Q159" s="13">
        <v>4</v>
      </c>
      <c r="R159" t="s">
        <v>260</v>
      </c>
      <c r="S159" s="9" t="s">
        <v>11</v>
      </c>
      <c r="T159" s="9"/>
      <c r="U159" s="9"/>
      <c r="V159" s="9" t="s">
        <v>76</v>
      </c>
      <c r="W159" s="9" t="s">
        <v>146</v>
      </c>
      <c r="X159" s="9" t="s">
        <v>91</v>
      </c>
      <c r="Y159" s="9" t="s">
        <v>151</v>
      </c>
      <c r="Z159" s="9" t="s">
        <v>161</v>
      </c>
      <c r="AA159" s="9" t="s">
        <v>161</v>
      </c>
      <c r="AB159" s="9" t="s">
        <v>372</v>
      </c>
    </row>
    <row r="160" spans="2:28" x14ac:dyDescent="0.3">
      <c r="B160">
        <f t="shared" si="13"/>
        <v>156</v>
      </c>
      <c r="D160" t="s">
        <v>368</v>
      </c>
      <c r="E160" t="s">
        <v>221</v>
      </c>
      <c r="F160" t="s">
        <v>464</v>
      </c>
      <c r="G160" t="s">
        <v>281</v>
      </c>
      <c r="I160" s="25">
        <v>46137</v>
      </c>
      <c r="J160" s="12">
        <v>0</v>
      </c>
      <c r="K160" s="12">
        <v>0</v>
      </c>
      <c r="L160" s="12">
        <v>0</v>
      </c>
      <c r="M160" s="13">
        <v>0</v>
      </c>
      <c r="N160" s="13">
        <v>0</v>
      </c>
      <c r="O160" s="13">
        <f t="shared" si="12"/>
        <v>0</v>
      </c>
      <c r="P160" s="9" t="s">
        <v>24</v>
      </c>
      <c r="Q160" s="13">
        <v>3</v>
      </c>
      <c r="R160" t="s">
        <v>260</v>
      </c>
      <c r="S160" s="9" t="s">
        <v>11</v>
      </c>
      <c r="T160" s="9"/>
      <c r="U160" s="9"/>
      <c r="V160" s="9" t="s">
        <v>197</v>
      </c>
      <c r="W160" s="9" t="s">
        <v>149</v>
      </c>
      <c r="X160" s="9" t="s">
        <v>122</v>
      </c>
      <c r="Y160" s="9" t="s">
        <v>150</v>
      </c>
      <c r="Z160" s="9" t="s">
        <v>157</v>
      </c>
      <c r="AA160" s="9" t="s">
        <v>157</v>
      </c>
      <c r="AB160" s="9" t="s">
        <v>466</v>
      </c>
    </row>
    <row r="161" spans="2:28" x14ac:dyDescent="0.3">
      <c r="B161">
        <f t="shared" si="13"/>
        <v>157</v>
      </c>
      <c r="D161" t="s">
        <v>251</v>
      </c>
      <c r="E161" t="s">
        <v>221</v>
      </c>
      <c r="F161" t="s">
        <v>465</v>
      </c>
      <c r="G161" t="s">
        <v>281</v>
      </c>
      <c r="I161" s="25">
        <v>46137</v>
      </c>
      <c r="J161" s="12">
        <v>0</v>
      </c>
      <c r="K161" s="12">
        <v>0</v>
      </c>
      <c r="L161" s="12">
        <v>0</v>
      </c>
      <c r="M161" s="13">
        <v>0</v>
      </c>
      <c r="N161" s="13">
        <v>0</v>
      </c>
      <c r="O161" s="13">
        <f t="shared" si="12"/>
        <v>0</v>
      </c>
      <c r="P161" s="9" t="s">
        <v>24</v>
      </c>
      <c r="Q161" s="13">
        <v>10</v>
      </c>
      <c r="R161" t="s">
        <v>260</v>
      </c>
      <c r="S161" s="9" t="s">
        <v>11</v>
      </c>
      <c r="T161" s="9"/>
      <c r="U161" s="9"/>
      <c r="V161" s="9" t="s">
        <v>197</v>
      </c>
      <c r="W161" s="9" t="s">
        <v>149</v>
      </c>
      <c r="X161" s="9" t="s">
        <v>122</v>
      </c>
      <c r="Y161" s="9" t="s">
        <v>150</v>
      </c>
      <c r="Z161" s="9" t="s">
        <v>157</v>
      </c>
      <c r="AA161" s="9" t="s">
        <v>157</v>
      </c>
      <c r="AB161" s="9" t="s">
        <v>466</v>
      </c>
    </row>
    <row r="162" spans="2:28" x14ac:dyDescent="0.3">
      <c r="B162">
        <f t="shared" si="13"/>
        <v>158</v>
      </c>
      <c r="D162" t="s">
        <v>223</v>
      </c>
      <c r="E162" t="s">
        <v>221</v>
      </c>
      <c r="F162" t="s">
        <v>474</v>
      </c>
      <c r="G162" t="s">
        <v>502</v>
      </c>
      <c r="I162" s="25">
        <v>46139</v>
      </c>
      <c r="J162" s="12">
        <v>0.72569444444444453</v>
      </c>
      <c r="K162" s="12">
        <v>0.76527777777777783</v>
      </c>
      <c r="L162" s="12">
        <v>0.77916666666666667</v>
      </c>
      <c r="M162" s="13">
        <v>18520</v>
      </c>
      <c r="N162" s="13">
        <v>0</v>
      </c>
      <c r="O162" s="13">
        <f t="shared" si="12"/>
        <v>18520</v>
      </c>
      <c r="P162" s="9" t="s">
        <v>24</v>
      </c>
      <c r="Q162" s="13">
        <v>8</v>
      </c>
      <c r="R162" t="s">
        <v>260</v>
      </c>
      <c r="S162" s="9" t="s">
        <v>11</v>
      </c>
      <c r="T162" s="9"/>
      <c r="U162" s="9"/>
      <c r="V162" s="9" t="s">
        <v>197</v>
      </c>
      <c r="W162" s="9" t="s">
        <v>149</v>
      </c>
      <c r="X162" s="9" t="s">
        <v>122</v>
      </c>
      <c r="Y162" s="9" t="s">
        <v>150</v>
      </c>
      <c r="Z162" s="9" t="s">
        <v>157</v>
      </c>
      <c r="AA162" s="9" t="s">
        <v>157</v>
      </c>
      <c r="AB162" s="9" t="s">
        <v>478</v>
      </c>
    </row>
    <row r="163" spans="2:28" x14ac:dyDescent="0.3">
      <c r="B163">
        <f t="shared" si="13"/>
        <v>159</v>
      </c>
      <c r="D163" t="s">
        <v>235</v>
      </c>
      <c r="E163" t="s">
        <v>221</v>
      </c>
      <c r="F163" t="s">
        <v>475</v>
      </c>
      <c r="G163" t="s">
        <v>502</v>
      </c>
      <c r="I163" s="25">
        <v>46139</v>
      </c>
      <c r="J163" s="12">
        <v>0</v>
      </c>
      <c r="K163" s="12">
        <v>0</v>
      </c>
      <c r="L163" s="12">
        <v>0</v>
      </c>
      <c r="M163" s="13">
        <v>0</v>
      </c>
      <c r="N163" s="13">
        <v>0</v>
      </c>
      <c r="O163" s="13">
        <f t="shared" si="12"/>
        <v>0</v>
      </c>
      <c r="P163" s="9" t="s">
        <v>24</v>
      </c>
      <c r="Q163" s="13">
        <v>8</v>
      </c>
      <c r="R163" t="s">
        <v>260</v>
      </c>
      <c r="S163" s="9" t="s">
        <v>11</v>
      </c>
      <c r="T163" s="9"/>
      <c r="U163" s="9"/>
      <c r="V163" s="9" t="s">
        <v>197</v>
      </c>
      <c r="W163" s="9" t="s">
        <v>149</v>
      </c>
      <c r="X163" s="9" t="s">
        <v>122</v>
      </c>
      <c r="Y163" s="9" t="s">
        <v>150</v>
      </c>
      <c r="Z163" s="9" t="s">
        <v>157</v>
      </c>
      <c r="AA163" s="9" t="s">
        <v>157</v>
      </c>
      <c r="AB163" s="9" t="s">
        <v>478</v>
      </c>
    </row>
    <row r="164" spans="2:28" x14ac:dyDescent="0.3">
      <c r="B164">
        <f t="shared" si="13"/>
        <v>160</v>
      </c>
      <c r="D164" t="s">
        <v>223</v>
      </c>
      <c r="E164" t="s">
        <v>221</v>
      </c>
      <c r="F164" t="s">
        <v>476</v>
      </c>
      <c r="G164" t="s">
        <v>502</v>
      </c>
      <c r="I164" s="25">
        <v>46139</v>
      </c>
      <c r="J164" s="12">
        <v>0.42083333333333334</v>
      </c>
      <c r="K164" s="12">
        <v>0.45347222222222222</v>
      </c>
      <c r="L164" s="12">
        <v>0.48125000000000001</v>
      </c>
      <c r="M164" s="13">
        <v>19100</v>
      </c>
      <c r="N164" s="13">
        <v>0</v>
      </c>
      <c r="O164" s="13">
        <f t="shared" si="12"/>
        <v>19100</v>
      </c>
      <c r="P164" s="9" t="s">
        <v>24</v>
      </c>
      <c r="Q164" s="13">
        <v>8</v>
      </c>
      <c r="R164" t="s">
        <v>260</v>
      </c>
      <c r="S164" s="9" t="s">
        <v>11</v>
      </c>
      <c r="T164" s="9"/>
      <c r="U164" s="9"/>
      <c r="V164" s="9" t="s">
        <v>197</v>
      </c>
      <c r="W164" s="9" t="s">
        <v>149</v>
      </c>
      <c r="X164" s="9" t="s">
        <v>122</v>
      </c>
      <c r="Y164" s="9" t="s">
        <v>150</v>
      </c>
      <c r="Z164" s="9" t="s">
        <v>157</v>
      </c>
      <c r="AA164" s="9" t="s">
        <v>157</v>
      </c>
      <c r="AB164" s="9" t="s">
        <v>478</v>
      </c>
    </row>
    <row r="165" spans="2:28" x14ac:dyDescent="0.3">
      <c r="B165">
        <f t="shared" si="13"/>
        <v>161</v>
      </c>
      <c r="D165" t="s">
        <v>235</v>
      </c>
      <c r="E165" t="s">
        <v>221</v>
      </c>
      <c r="F165" t="s">
        <v>477</v>
      </c>
      <c r="G165" t="s">
        <v>502</v>
      </c>
      <c r="I165" s="25">
        <v>46139</v>
      </c>
      <c r="J165" s="12">
        <v>0</v>
      </c>
      <c r="K165" s="12">
        <v>0</v>
      </c>
      <c r="L165" s="12">
        <v>0</v>
      </c>
      <c r="M165" s="13">
        <v>0</v>
      </c>
      <c r="N165" s="13">
        <v>0</v>
      </c>
      <c r="O165" s="13">
        <f t="shared" si="12"/>
        <v>0</v>
      </c>
      <c r="P165" s="9" t="s">
        <v>24</v>
      </c>
      <c r="Q165" s="13">
        <v>6</v>
      </c>
      <c r="R165" t="s">
        <v>260</v>
      </c>
      <c r="S165" s="9" t="s">
        <v>11</v>
      </c>
      <c r="T165" s="9"/>
      <c r="U165" s="9"/>
      <c r="V165" s="9" t="s">
        <v>197</v>
      </c>
      <c r="W165" s="9" t="s">
        <v>149</v>
      </c>
      <c r="X165" s="9" t="s">
        <v>122</v>
      </c>
      <c r="Y165" s="9" t="s">
        <v>150</v>
      </c>
      <c r="Z165" s="9" t="s">
        <v>157</v>
      </c>
      <c r="AA165" s="9" t="s">
        <v>157</v>
      </c>
      <c r="AB165" s="9" t="s">
        <v>478</v>
      </c>
    </row>
    <row r="166" spans="2:28" x14ac:dyDescent="0.3">
      <c r="B166">
        <f t="shared" si="13"/>
        <v>162</v>
      </c>
      <c r="D166" t="s">
        <v>251</v>
      </c>
      <c r="E166" t="s">
        <v>221</v>
      </c>
      <c r="F166" t="s">
        <v>480</v>
      </c>
      <c r="G166" t="s">
        <v>502</v>
      </c>
      <c r="I166" s="25">
        <v>46140</v>
      </c>
      <c r="J166" s="12">
        <v>0.62708333333333333</v>
      </c>
      <c r="K166" s="12">
        <v>0.65069444444444446</v>
      </c>
      <c r="L166" s="12">
        <v>0.69305555555555554</v>
      </c>
      <c r="M166" s="13">
        <v>4240</v>
      </c>
      <c r="N166" s="13">
        <v>0</v>
      </c>
      <c r="O166" s="13">
        <f t="shared" si="12"/>
        <v>4240</v>
      </c>
      <c r="P166" s="9" t="s">
        <v>24</v>
      </c>
      <c r="Q166" s="13">
        <v>2</v>
      </c>
      <c r="R166" t="s">
        <v>260</v>
      </c>
      <c r="S166" s="9" t="s">
        <v>11</v>
      </c>
      <c r="T166" s="9"/>
      <c r="U166" s="9"/>
      <c r="V166" s="9" t="s">
        <v>197</v>
      </c>
      <c r="W166" s="9" t="s">
        <v>149</v>
      </c>
      <c r="X166" s="9" t="s">
        <v>122</v>
      </c>
      <c r="Y166" s="9" t="s">
        <v>150</v>
      </c>
      <c r="Z166" s="9" t="s">
        <v>157</v>
      </c>
      <c r="AA166" s="9" t="s">
        <v>157</v>
      </c>
      <c r="AB166" s="9" t="s">
        <v>486</v>
      </c>
    </row>
    <row r="167" spans="2:28" x14ac:dyDescent="0.3">
      <c r="B167">
        <f t="shared" si="13"/>
        <v>163</v>
      </c>
      <c r="D167" t="s">
        <v>235</v>
      </c>
      <c r="E167" t="s">
        <v>221</v>
      </c>
      <c r="F167" t="s">
        <v>481</v>
      </c>
      <c r="G167" t="s">
        <v>502</v>
      </c>
      <c r="I167" s="25">
        <v>46140</v>
      </c>
      <c r="J167" s="12">
        <v>0.56944444444444442</v>
      </c>
      <c r="K167" s="12">
        <v>0.59930555555555554</v>
      </c>
      <c r="L167" s="12">
        <v>0.63194444444444442</v>
      </c>
      <c r="M167" s="13">
        <v>23740</v>
      </c>
      <c r="N167" s="13">
        <v>0</v>
      </c>
      <c r="O167" s="13">
        <f t="shared" si="12"/>
        <v>23740</v>
      </c>
      <c r="P167" s="9" t="s">
        <v>24</v>
      </c>
      <c r="Q167" s="13">
        <v>10</v>
      </c>
      <c r="R167" t="s">
        <v>260</v>
      </c>
      <c r="S167" s="9" t="s">
        <v>11</v>
      </c>
      <c r="T167" s="9"/>
      <c r="U167" s="9"/>
      <c r="V167" s="9" t="s">
        <v>197</v>
      </c>
      <c r="W167" s="9" t="s">
        <v>149</v>
      </c>
      <c r="X167" s="9" t="s">
        <v>122</v>
      </c>
      <c r="Y167" s="9" t="s">
        <v>150</v>
      </c>
      <c r="Z167" s="9" t="s">
        <v>157</v>
      </c>
      <c r="AA167" s="9" t="s">
        <v>157</v>
      </c>
      <c r="AB167" s="9" t="s">
        <v>486</v>
      </c>
    </row>
    <row r="168" spans="2:28" x14ac:dyDescent="0.3">
      <c r="B168">
        <f t="shared" si="13"/>
        <v>164</v>
      </c>
      <c r="D168" t="s">
        <v>233</v>
      </c>
      <c r="E168" t="s">
        <v>221</v>
      </c>
      <c r="F168" t="s">
        <v>482</v>
      </c>
      <c r="G168" t="s">
        <v>502</v>
      </c>
      <c r="I168" s="25">
        <v>46140</v>
      </c>
      <c r="J168" s="12">
        <v>0.40277777777777773</v>
      </c>
      <c r="K168" s="12">
        <v>0.43541666666666662</v>
      </c>
      <c r="L168" s="12">
        <v>0.4597222222222222</v>
      </c>
      <c r="M168" s="13">
        <v>23600</v>
      </c>
      <c r="N168" s="13">
        <v>0</v>
      </c>
      <c r="O168" s="13">
        <f t="shared" si="12"/>
        <v>23600</v>
      </c>
      <c r="P168" s="9" t="s">
        <v>24</v>
      </c>
      <c r="Q168" s="13">
        <v>10</v>
      </c>
      <c r="R168" t="s">
        <v>260</v>
      </c>
      <c r="S168" s="9" t="s">
        <v>11</v>
      </c>
      <c r="T168" s="9"/>
      <c r="U168" s="9"/>
      <c r="V168" s="9" t="s">
        <v>197</v>
      </c>
      <c r="W168" s="9" t="s">
        <v>149</v>
      </c>
      <c r="X168" s="9" t="s">
        <v>122</v>
      </c>
      <c r="Y168" s="9" t="s">
        <v>150</v>
      </c>
      <c r="Z168" s="9" t="s">
        <v>157</v>
      </c>
      <c r="AA168" s="9" t="s">
        <v>157</v>
      </c>
      <c r="AB168" s="9" t="s">
        <v>486</v>
      </c>
    </row>
    <row r="169" spans="2:28" x14ac:dyDescent="0.3">
      <c r="B169">
        <f t="shared" si="13"/>
        <v>165</v>
      </c>
      <c r="D169" t="s">
        <v>479</v>
      </c>
      <c r="E169" t="s">
        <v>217</v>
      </c>
      <c r="F169" t="s">
        <v>483</v>
      </c>
      <c r="G169" t="s">
        <v>411</v>
      </c>
      <c r="I169" s="25">
        <v>46140</v>
      </c>
      <c r="J169" s="12">
        <v>0</v>
      </c>
      <c r="K169" s="12">
        <v>0</v>
      </c>
      <c r="L169" s="12">
        <v>0</v>
      </c>
      <c r="M169" s="13">
        <v>0</v>
      </c>
      <c r="N169" s="13">
        <v>0</v>
      </c>
      <c r="O169" s="13">
        <f t="shared" si="12"/>
        <v>0</v>
      </c>
      <c r="P169" s="9" t="s">
        <v>24</v>
      </c>
      <c r="Q169" s="13">
        <v>3</v>
      </c>
      <c r="R169" t="s">
        <v>260</v>
      </c>
      <c r="S169" s="9" t="s">
        <v>11</v>
      </c>
      <c r="T169" s="9"/>
      <c r="U169" s="9"/>
      <c r="V169" s="9" t="s">
        <v>197</v>
      </c>
      <c r="W169" s="9" t="s">
        <v>149</v>
      </c>
      <c r="X169" s="9" t="s">
        <v>122</v>
      </c>
      <c r="Y169" s="9" t="s">
        <v>150</v>
      </c>
      <c r="Z169" s="9" t="s">
        <v>157</v>
      </c>
      <c r="AA169" s="9" t="s">
        <v>157</v>
      </c>
      <c r="AB169" s="9" t="s">
        <v>486</v>
      </c>
    </row>
    <row r="170" spans="2:28" x14ac:dyDescent="0.3">
      <c r="B170">
        <f t="shared" si="13"/>
        <v>166</v>
      </c>
      <c r="D170" t="s">
        <v>233</v>
      </c>
      <c r="E170" t="s">
        <v>221</v>
      </c>
      <c r="F170" t="s">
        <v>484</v>
      </c>
      <c r="G170" t="s">
        <v>502</v>
      </c>
      <c r="I170" s="25">
        <v>46140</v>
      </c>
      <c r="J170" s="12">
        <v>0.80208333333333337</v>
      </c>
      <c r="K170" s="12">
        <v>0.82500000000000007</v>
      </c>
      <c r="L170" s="12">
        <v>0.83680555555555547</v>
      </c>
      <c r="M170" s="13">
        <v>10100</v>
      </c>
      <c r="N170" s="13">
        <v>0</v>
      </c>
      <c r="O170" s="13">
        <f t="shared" si="12"/>
        <v>10100</v>
      </c>
      <c r="P170" s="9" t="s">
        <v>24</v>
      </c>
      <c r="Q170" s="13">
        <v>5</v>
      </c>
      <c r="R170" t="s">
        <v>260</v>
      </c>
      <c r="S170" s="9" t="s">
        <v>11</v>
      </c>
      <c r="T170" s="9"/>
      <c r="U170" s="9"/>
      <c r="V170" s="9" t="s">
        <v>197</v>
      </c>
      <c r="W170" s="9" t="s">
        <v>149</v>
      </c>
      <c r="X170" s="9" t="s">
        <v>122</v>
      </c>
      <c r="Y170" s="9" t="s">
        <v>150</v>
      </c>
      <c r="Z170" s="9" t="s">
        <v>157</v>
      </c>
      <c r="AA170" s="9" t="s">
        <v>157</v>
      </c>
      <c r="AB170" s="9" t="s">
        <v>486</v>
      </c>
    </row>
    <row r="171" spans="2:28" x14ac:dyDescent="0.3">
      <c r="B171">
        <f t="shared" si="13"/>
        <v>167</v>
      </c>
      <c r="D171" t="s">
        <v>251</v>
      </c>
      <c r="E171" t="s">
        <v>221</v>
      </c>
      <c r="F171" t="s">
        <v>485</v>
      </c>
      <c r="G171" t="s">
        <v>502</v>
      </c>
      <c r="I171" s="25">
        <v>46140</v>
      </c>
      <c r="J171" s="12">
        <v>0.73055555555555562</v>
      </c>
      <c r="K171" s="12">
        <v>0.7631944444444444</v>
      </c>
      <c r="L171" s="12">
        <v>0.79791666666666661</v>
      </c>
      <c r="M171" s="13">
        <v>20240</v>
      </c>
      <c r="N171" s="13">
        <v>0</v>
      </c>
      <c r="O171" s="13">
        <f t="shared" si="12"/>
        <v>20240</v>
      </c>
      <c r="P171" s="9" t="s">
        <v>24</v>
      </c>
      <c r="Q171" s="13">
        <v>8</v>
      </c>
      <c r="R171" t="s">
        <v>260</v>
      </c>
      <c r="S171" s="9" t="s">
        <v>11</v>
      </c>
      <c r="T171" s="9"/>
      <c r="U171" s="9"/>
      <c r="V171" s="9" t="s">
        <v>197</v>
      </c>
      <c r="W171" s="9" t="s">
        <v>149</v>
      </c>
      <c r="X171" s="9" t="s">
        <v>122</v>
      </c>
      <c r="Y171" s="9" t="s">
        <v>150</v>
      </c>
      <c r="Z171" s="9" t="s">
        <v>157</v>
      </c>
      <c r="AA171" s="9" t="s">
        <v>157</v>
      </c>
      <c r="AB171" s="9" t="s">
        <v>486</v>
      </c>
    </row>
    <row r="172" spans="2:28" x14ac:dyDescent="0.3">
      <c r="B172">
        <f t="shared" si="13"/>
        <v>168</v>
      </c>
      <c r="D172" t="s">
        <v>251</v>
      </c>
      <c r="E172" t="s">
        <v>221</v>
      </c>
      <c r="F172" t="s">
        <v>467</v>
      </c>
      <c r="G172" t="s">
        <v>281</v>
      </c>
      <c r="I172" s="25">
        <v>46141</v>
      </c>
      <c r="J172" s="12">
        <v>0.78888888888888886</v>
      </c>
      <c r="K172" s="12">
        <v>0.79513888888888884</v>
      </c>
      <c r="L172" s="12">
        <v>0.81041666666666667</v>
      </c>
      <c r="M172" s="13">
        <v>24080</v>
      </c>
      <c r="N172" s="13">
        <v>0</v>
      </c>
      <c r="O172" s="13">
        <f t="shared" si="12"/>
        <v>24080</v>
      </c>
      <c r="P172" s="9" t="s">
        <v>24</v>
      </c>
      <c r="Q172" s="13">
        <v>10</v>
      </c>
      <c r="R172" t="s">
        <v>260</v>
      </c>
      <c r="S172" s="9" t="s">
        <v>11</v>
      </c>
      <c r="T172" s="9"/>
      <c r="U172" s="9"/>
      <c r="V172" s="9" t="s">
        <v>197</v>
      </c>
      <c r="W172" s="9" t="s">
        <v>149</v>
      </c>
      <c r="X172" s="9" t="s">
        <v>122</v>
      </c>
      <c r="Y172" s="9" t="s">
        <v>150</v>
      </c>
      <c r="Z172" s="9" t="s">
        <v>157</v>
      </c>
      <c r="AA172" s="9" t="s">
        <v>157</v>
      </c>
      <c r="AB172" s="9" t="s">
        <v>487</v>
      </c>
    </row>
    <row r="173" spans="2:28" x14ac:dyDescent="0.3">
      <c r="B173">
        <f t="shared" si="13"/>
        <v>169</v>
      </c>
      <c r="D173" t="s">
        <v>251</v>
      </c>
      <c r="E173" t="s">
        <v>221</v>
      </c>
      <c r="F173" t="s">
        <v>468</v>
      </c>
      <c r="G173" t="s">
        <v>281</v>
      </c>
      <c r="I173" s="25">
        <v>46141</v>
      </c>
      <c r="J173" s="12">
        <v>0.75138888888888899</v>
      </c>
      <c r="K173" s="12">
        <v>0.7583333333333333</v>
      </c>
      <c r="L173" s="12">
        <v>0.77708333333333324</v>
      </c>
      <c r="M173" s="13">
        <v>25240</v>
      </c>
      <c r="N173" s="13">
        <v>0</v>
      </c>
      <c r="O173" s="13">
        <f t="shared" si="12"/>
        <v>25240</v>
      </c>
      <c r="P173" s="9" t="s">
        <v>24</v>
      </c>
      <c r="Q173" s="13">
        <v>10</v>
      </c>
      <c r="R173" t="s">
        <v>260</v>
      </c>
      <c r="S173" s="9" t="s">
        <v>11</v>
      </c>
      <c r="T173" s="9"/>
      <c r="U173" s="9"/>
      <c r="V173" s="9" t="s">
        <v>197</v>
      </c>
      <c r="W173" s="9" t="s">
        <v>149</v>
      </c>
      <c r="X173" s="9" t="s">
        <v>122</v>
      </c>
      <c r="Y173" s="9" t="s">
        <v>150</v>
      </c>
      <c r="Z173" s="9" t="s">
        <v>157</v>
      </c>
      <c r="AA173" s="9" t="s">
        <v>157</v>
      </c>
      <c r="AB173" s="9" t="s">
        <v>487</v>
      </c>
    </row>
    <row r="174" spans="2:28" x14ac:dyDescent="0.3">
      <c r="B174">
        <f t="shared" si="13"/>
        <v>170</v>
      </c>
      <c r="D174" t="s">
        <v>216</v>
      </c>
      <c r="E174" t="s">
        <v>221</v>
      </c>
      <c r="F174" t="s">
        <v>469</v>
      </c>
      <c r="G174" t="s">
        <v>281</v>
      </c>
      <c r="I174" s="25">
        <v>46141</v>
      </c>
      <c r="J174" s="12">
        <v>0</v>
      </c>
      <c r="K174" s="12">
        <v>0</v>
      </c>
      <c r="L174" s="12">
        <v>0</v>
      </c>
      <c r="M174" s="13">
        <v>0</v>
      </c>
      <c r="N174" s="13">
        <v>0</v>
      </c>
      <c r="O174" s="13">
        <f t="shared" si="12"/>
        <v>0</v>
      </c>
      <c r="P174" s="9" t="s">
        <v>24</v>
      </c>
      <c r="Q174" s="13">
        <v>10</v>
      </c>
      <c r="R174" t="s">
        <v>260</v>
      </c>
      <c r="S174" s="9" t="s">
        <v>11</v>
      </c>
      <c r="T174" s="9"/>
      <c r="U174" s="9"/>
      <c r="V174" s="9" t="s">
        <v>197</v>
      </c>
      <c r="W174" s="9" t="s">
        <v>149</v>
      </c>
      <c r="X174" s="9" t="s">
        <v>122</v>
      </c>
      <c r="Y174" s="9" t="s">
        <v>150</v>
      </c>
      <c r="Z174" s="9" t="s">
        <v>157</v>
      </c>
      <c r="AA174" s="9" t="s">
        <v>157</v>
      </c>
      <c r="AB174" s="9" t="s">
        <v>487</v>
      </c>
    </row>
    <row r="175" spans="2:28" x14ac:dyDescent="0.3">
      <c r="B175">
        <f t="shared" si="13"/>
        <v>171</v>
      </c>
      <c r="D175" t="s">
        <v>229</v>
      </c>
      <c r="E175" t="s">
        <v>221</v>
      </c>
      <c r="F175" t="s">
        <v>470</v>
      </c>
      <c r="G175" t="s">
        <v>281</v>
      </c>
      <c r="I175" s="25">
        <v>46141</v>
      </c>
      <c r="J175" s="12">
        <v>0</v>
      </c>
      <c r="K175" s="12">
        <v>0</v>
      </c>
      <c r="L175" s="12">
        <v>0</v>
      </c>
      <c r="M175" s="13">
        <v>0</v>
      </c>
      <c r="N175" s="13">
        <v>0</v>
      </c>
      <c r="O175" s="13">
        <f t="shared" si="12"/>
        <v>0</v>
      </c>
      <c r="P175" s="9" t="s">
        <v>24</v>
      </c>
      <c r="Q175" s="13">
        <v>3</v>
      </c>
      <c r="R175" t="s">
        <v>260</v>
      </c>
      <c r="S175" s="9" t="s">
        <v>11</v>
      </c>
      <c r="T175" s="9"/>
      <c r="U175" s="9"/>
      <c r="V175" s="9" t="s">
        <v>197</v>
      </c>
      <c r="W175" s="9" t="s">
        <v>149</v>
      </c>
      <c r="X175" s="9" t="s">
        <v>122</v>
      </c>
      <c r="Y175" s="9" t="s">
        <v>150</v>
      </c>
      <c r="Z175" s="9" t="s">
        <v>157</v>
      </c>
      <c r="AA175" s="9" t="s">
        <v>157</v>
      </c>
      <c r="AB175" s="9" t="s">
        <v>487</v>
      </c>
    </row>
    <row r="176" spans="2:28" x14ac:dyDescent="0.3">
      <c r="B176">
        <f t="shared" si="13"/>
        <v>172</v>
      </c>
      <c r="D176" t="s">
        <v>251</v>
      </c>
      <c r="E176" t="s">
        <v>221</v>
      </c>
      <c r="F176" t="s">
        <v>471</v>
      </c>
      <c r="G176" t="s">
        <v>502</v>
      </c>
      <c r="I176" s="25">
        <v>46141</v>
      </c>
      <c r="J176" s="12">
        <v>0</v>
      </c>
      <c r="K176" s="12">
        <v>0</v>
      </c>
      <c r="L176" s="12">
        <v>0</v>
      </c>
      <c r="M176" s="13">
        <v>0</v>
      </c>
      <c r="N176" s="13">
        <v>0</v>
      </c>
      <c r="O176" s="13">
        <f t="shared" si="12"/>
        <v>0</v>
      </c>
      <c r="P176" s="9" t="s">
        <v>24</v>
      </c>
      <c r="Q176" s="13">
        <v>3</v>
      </c>
      <c r="R176" t="s">
        <v>260</v>
      </c>
      <c r="S176" s="9" t="s">
        <v>11</v>
      </c>
      <c r="T176" s="9"/>
      <c r="U176" s="9"/>
      <c r="V176" s="9" t="s">
        <v>197</v>
      </c>
      <c r="W176" s="9" t="s">
        <v>149</v>
      </c>
      <c r="X176" s="9" t="s">
        <v>122</v>
      </c>
      <c r="Y176" s="9" t="s">
        <v>150</v>
      </c>
      <c r="Z176" s="9" t="s">
        <v>157</v>
      </c>
      <c r="AA176" s="9" t="s">
        <v>157</v>
      </c>
      <c r="AB176" s="9" t="s">
        <v>487</v>
      </c>
    </row>
    <row r="177" spans="2:28" x14ac:dyDescent="0.3">
      <c r="B177">
        <f t="shared" si="13"/>
        <v>173</v>
      </c>
      <c r="D177" t="s">
        <v>233</v>
      </c>
      <c r="E177" t="s">
        <v>221</v>
      </c>
      <c r="F177" t="s">
        <v>472</v>
      </c>
      <c r="G177" t="s">
        <v>281</v>
      </c>
      <c r="I177" s="25">
        <v>46141</v>
      </c>
      <c r="J177" s="12">
        <v>0.48958333333333331</v>
      </c>
      <c r="K177" s="12">
        <v>0.49861111111111112</v>
      </c>
      <c r="L177" s="12">
        <v>0.54513888888888895</v>
      </c>
      <c r="M177" s="13">
        <v>24300</v>
      </c>
      <c r="N177" s="13">
        <v>0</v>
      </c>
      <c r="O177" s="13">
        <f t="shared" si="12"/>
        <v>24300</v>
      </c>
      <c r="P177" s="9" t="s">
        <v>24</v>
      </c>
      <c r="Q177" s="13">
        <v>10</v>
      </c>
      <c r="R177" t="s">
        <v>260</v>
      </c>
      <c r="S177" s="9" t="s">
        <v>11</v>
      </c>
      <c r="T177" s="9"/>
      <c r="U177" s="9"/>
      <c r="V177" s="9" t="s">
        <v>197</v>
      </c>
      <c r="W177" s="9" t="s">
        <v>149</v>
      </c>
      <c r="X177" s="9" t="s">
        <v>122</v>
      </c>
      <c r="Y177" s="9" t="s">
        <v>150</v>
      </c>
      <c r="Z177" s="9" t="s">
        <v>157</v>
      </c>
      <c r="AA177" s="9" t="s">
        <v>157</v>
      </c>
      <c r="AB177" s="9" t="s">
        <v>487</v>
      </c>
    </row>
    <row r="178" spans="2:28" x14ac:dyDescent="0.3">
      <c r="B178">
        <f t="shared" si="13"/>
        <v>174</v>
      </c>
      <c r="D178" t="s">
        <v>216</v>
      </c>
      <c r="E178" t="s">
        <v>221</v>
      </c>
      <c r="F178" t="s">
        <v>473</v>
      </c>
      <c r="G178" t="s">
        <v>281</v>
      </c>
      <c r="I178" s="25">
        <v>46141</v>
      </c>
      <c r="J178" s="12">
        <v>0.4145833333333333</v>
      </c>
      <c r="K178" s="12">
        <v>0.42222222222222222</v>
      </c>
      <c r="L178" s="12">
        <v>0.44027777777777777</v>
      </c>
      <c r="M178" s="13">
        <v>23850</v>
      </c>
      <c r="N178" s="13">
        <v>0</v>
      </c>
      <c r="O178" s="13">
        <f t="shared" si="12"/>
        <v>23850</v>
      </c>
      <c r="P178" s="9" t="s">
        <v>24</v>
      </c>
      <c r="Q178" s="13">
        <v>10</v>
      </c>
      <c r="R178" t="s">
        <v>260</v>
      </c>
      <c r="S178" s="9" t="s">
        <v>11</v>
      </c>
      <c r="T178" s="9"/>
      <c r="U178" s="9"/>
      <c r="V178" s="9" t="s">
        <v>197</v>
      </c>
      <c r="W178" s="9" t="s">
        <v>149</v>
      </c>
      <c r="X178" s="9" t="s">
        <v>122</v>
      </c>
      <c r="Y178" s="9" t="s">
        <v>150</v>
      </c>
      <c r="Z178" s="9" t="s">
        <v>157</v>
      </c>
      <c r="AA178" s="9" t="s">
        <v>157</v>
      </c>
      <c r="AB178" s="9" t="s">
        <v>487</v>
      </c>
    </row>
    <row r="179" spans="2:28" x14ac:dyDescent="0.3">
      <c r="B179">
        <f t="shared" si="13"/>
        <v>175</v>
      </c>
      <c r="D179" t="s">
        <v>235</v>
      </c>
      <c r="E179" t="s">
        <v>221</v>
      </c>
      <c r="F179" t="s">
        <v>489</v>
      </c>
      <c r="G179" t="s">
        <v>281</v>
      </c>
      <c r="I179" s="25">
        <v>46144</v>
      </c>
      <c r="J179" s="12">
        <v>0.54791666666666672</v>
      </c>
      <c r="K179" s="12">
        <v>0.55555555555555558</v>
      </c>
      <c r="L179" s="12">
        <v>0.58611111111111114</v>
      </c>
      <c r="M179" s="13">
        <v>8120</v>
      </c>
      <c r="N179" s="13">
        <v>0</v>
      </c>
      <c r="O179" s="13">
        <f t="shared" si="12"/>
        <v>8120</v>
      </c>
      <c r="P179" s="9" t="s">
        <v>24</v>
      </c>
      <c r="Q179" s="13">
        <v>5</v>
      </c>
      <c r="R179" t="s">
        <v>260</v>
      </c>
      <c r="S179" s="9" t="s">
        <v>11</v>
      </c>
      <c r="T179" s="9"/>
      <c r="U179" s="9"/>
      <c r="V179" s="9" t="s">
        <v>197</v>
      </c>
      <c r="W179" s="9" t="s">
        <v>149</v>
      </c>
      <c r="X179" s="9" t="s">
        <v>122</v>
      </c>
      <c r="Y179" s="9" t="s">
        <v>150</v>
      </c>
      <c r="Z179" s="9" t="s">
        <v>157</v>
      </c>
      <c r="AA179" s="9" t="s">
        <v>157</v>
      </c>
      <c r="AB179" s="9" t="s">
        <v>488</v>
      </c>
    </row>
    <row r="180" spans="2:28" x14ac:dyDescent="0.3">
      <c r="B180">
        <f t="shared" si="13"/>
        <v>176</v>
      </c>
      <c r="D180" t="s">
        <v>251</v>
      </c>
      <c r="E180" t="s">
        <v>221</v>
      </c>
      <c r="F180" t="s">
        <v>490</v>
      </c>
      <c r="G180" t="s">
        <v>281</v>
      </c>
      <c r="I180" s="25">
        <v>46144</v>
      </c>
      <c r="J180" s="12">
        <v>0</v>
      </c>
      <c r="K180" s="12">
        <v>0</v>
      </c>
      <c r="L180" s="12">
        <v>0</v>
      </c>
      <c r="M180" s="13">
        <v>0</v>
      </c>
      <c r="N180" s="13">
        <v>0</v>
      </c>
      <c r="O180" s="13">
        <f t="shared" si="12"/>
        <v>0</v>
      </c>
      <c r="P180" s="9" t="s">
        <v>24</v>
      </c>
      <c r="Q180" s="13">
        <v>4</v>
      </c>
      <c r="R180" t="s">
        <v>260</v>
      </c>
      <c r="S180" s="9" t="s">
        <v>11</v>
      </c>
      <c r="T180" s="9"/>
      <c r="U180" s="9"/>
      <c r="V180" s="9" t="s">
        <v>197</v>
      </c>
      <c r="W180" s="9" t="s">
        <v>149</v>
      </c>
      <c r="X180" s="9" t="s">
        <v>122</v>
      </c>
      <c r="Y180" s="9" t="s">
        <v>150</v>
      </c>
      <c r="Z180" s="9" t="s">
        <v>157</v>
      </c>
      <c r="AA180" s="9" t="s">
        <v>157</v>
      </c>
      <c r="AB180" s="9" t="s">
        <v>488</v>
      </c>
    </row>
    <row r="181" spans="2:28" x14ac:dyDescent="0.3">
      <c r="B181">
        <f t="shared" si="13"/>
        <v>177</v>
      </c>
      <c r="D181" t="s">
        <v>231</v>
      </c>
      <c r="E181" t="s">
        <v>221</v>
      </c>
      <c r="F181" t="s">
        <v>492</v>
      </c>
      <c r="G181" t="s">
        <v>502</v>
      </c>
      <c r="I181" s="25">
        <v>46144</v>
      </c>
      <c r="J181" s="12">
        <v>0.77430555555555547</v>
      </c>
      <c r="K181" s="12">
        <v>0.79861111111111116</v>
      </c>
      <c r="L181" s="12">
        <v>0.81666666666666676</v>
      </c>
      <c r="M181" s="13">
        <v>19300</v>
      </c>
      <c r="N181" s="13">
        <v>0</v>
      </c>
      <c r="O181" s="13">
        <f t="shared" si="12"/>
        <v>19300</v>
      </c>
      <c r="P181" s="9" t="s">
        <v>24</v>
      </c>
      <c r="Q181" s="13">
        <v>8</v>
      </c>
      <c r="R181" t="s">
        <v>260</v>
      </c>
      <c r="S181" s="9" t="s">
        <v>11</v>
      </c>
      <c r="T181" s="9"/>
      <c r="U181" s="9"/>
      <c r="V181" s="9" t="s">
        <v>197</v>
      </c>
      <c r="W181" s="9" t="s">
        <v>149</v>
      </c>
      <c r="X181" s="9" t="s">
        <v>122</v>
      </c>
      <c r="Y181" s="9" t="s">
        <v>150</v>
      </c>
      <c r="Z181" s="9" t="s">
        <v>157</v>
      </c>
      <c r="AA181" s="9" t="s">
        <v>157</v>
      </c>
      <c r="AB181" s="9" t="s">
        <v>488</v>
      </c>
    </row>
    <row r="182" spans="2:28" x14ac:dyDescent="0.3">
      <c r="B182">
        <f t="shared" si="13"/>
        <v>178</v>
      </c>
      <c r="D182" t="s">
        <v>368</v>
      </c>
      <c r="E182" t="s">
        <v>221</v>
      </c>
      <c r="F182" t="s">
        <v>491</v>
      </c>
      <c r="G182" t="s">
        <v>502</v>
      </c>
      <c r="I182" s="25">
        <v>46144</v>
      </c>
      <c r="J182" s="12">
        <v>0</v>
      </c>
      <c r="K182" s="12">
        <v>0</v>
      </c>
      <c r="L182" s="12">
        <v>0</v>
      </c>
      <c r="M182" s="13">
        <v>0</v>
      </c>
      <c r="N182" s="13">
        <v>0</v>
      </c>
      <c r="O182" s="13">
        <f t="shared" si="12"/>
        <v>0</v>
      </c>
      <c r="P182" s="9" t="s">
        <v>24</v>
      </c>
      <c r="Q182" s="13">
        <v>8</v>
      </c>
      <c r="R182" t="s">
        <v>260</v>
      </c>
      <c r="S182" s="9" t="s">
        <v>11</v>
      </c>
      <c r="T182" s="9"/>
      <c r="U182" s="9"/>
      <c r="V182" s="9" t="s">
        <v>197</v>
      </c>
      <c r="W182" s="9" t="s">
        <v>149</v>
      </c>
      <c r="X182" s="9" t="s">
        <v>122</v>
      </c>
      <c r="Y182" s="9" t="s">
        <v>150</v>
      </c>
      <c r="Z182" s="9" t="s">
        <v>157</v>
      </c>
      <c r="AA182" s="9" t="s">
        <v>157</v>
      </c>
      <c r="AB182" s="9" t="s">
        <v>488</v>
      </c>
    </row>
    <row r="183" spans="2:28" x14ac:dyDescent="0.3">
      <c r="B183">
        <f t="shared" si="13"/>
        <v>179</v>
      </c>
      <c r="D183" t="s">
        <v>223</v>
      </c>
      <c r="E183" t="s">
        <v>221</v>
      </c>
      <c r="F183" t="s">
        <v>493</v>
      </c>
      <c r="G183" t="s">
        <v>281</v>
      </c>
      <c r="I183" s="25">
        <v>46146</v>
      </c>
      <c r="J183" s="12">
        <v>0</v>
      </c>
      <c r="K183" s="12">
        <v>0</v>
      </c>
      <c r="L183" s="12">
        <v>0</v>
      </c>
      <c r="M183" s="13">
        <v>0</v>
      </c>
      <c r="N183" s="13">
        <v>0</v>
      </c>
      <c r="O183" s="13">
        <f t="shared" si="12"/>
        <v>0</v>
      </c>
      <c r="P183" s="9" t="s">
        <v>24</v>
      </c>
      <c r="Q183" s="13">
        <v>5</v>
      </c>
      <c r="R183" t="s">
        <v>260</v>
      </c>
      <c r="S183" s="9" t="s">
        <v>11</v>
      </c>
      <c r="T183" s="9"/>
      <c r="U183" s="9"/>
      <c r="V183" s="9" t="s">
        <v>197</v>
      </c>
      <c r="W183" s="9" t="s">
        <v>149</v>
      </c>
      <c r="X183" s="9" t="s">
        <v>122</v>
      </c>
      <c r="Y183" s="9" t="s">
        <v>150</v>
      </c>
      <c r="Z183" s="9" t="s">
        <v>157</v>
      </c>
      <c r="AA183" s="9" t="s">
        <v>157</v>
      </c>
      <c r="AB183" s="9" t="s">
        <v>496</v>
      </c>
    </row>
    <row r="184" spans="2:28" x14ac:dyDescent="0.3">
      <c r="B184">
        <f t="shared" si="13"/>
        <v>180</v>
      </c>
      <c r="D184" t="s">
        <v>223</v>
      </c>
      <c r="E184" t="s">
        <v>221</v>
      </c>
      <c r="F184" t="s">
        <v>494</v>
      </c>
      <c r="G184" t="s">
        <v>281</v>
      </c>
      <c r="I184" s="25">
        <v>46146</v>
      </c>
      <c r="J184" s="12">
        <v>0.44305555555555554</v>
      </c>
      <c r="K184" s="12">
        <v>0.45069444444444445</v>
      </c>
      <c r="L184" s="12">
        <v>0.48541666666666666</v>
      </c>
      <c r="M184" s="13">
        <v>24020</v>
      </c>
      <c r="N184" s="13">
        <v>0</v>
      </c>
      <c r="O184" s="13">
        <f t="shared" si="12"/>
        <v>24020</v>
      </c>
      <c r="P184" s="9" t="s">
        <v>24</v>
      </c>
      <c r="Q184" s="13">
        <v>10</v>
      </c>
      <c r="R184" t="s">
        <v>260</v>
      </c>
      <c r="S184" s="9" t="s">
        <v>11</v>
      </c>
      <c r="T184" s="9"/>
      <c r="U184" s="9"/>
      <c r="V184" s="9" t="s">
        <v>197</v>
      </c>
      <c r="W184" s="9" t="s">
        <v>149</v>
      </c>
      <c r="X184" s="9" t="s">
        <v>122</v>
      </c>
      <c r="Y184" s="9" t="s">
        <v>150</v>
      </c>
      <c r="Z184" s="9" t="s">
        <v>157</v>
      </c>
      <c r="AA184" s="9" t="s">
        <v>157</v>
      </c>
      <c r="AB184" s="9" t="s">
        <v>496</v>
      </c>
    </row>
    <row r="185" spans="2:28" x14ac:dyDescent="0.3">
      <c r="B185">
        <f t="shared" si="13"/>
        <v>181</v>
      </c>
      <c r="D185" t="s">
        <v>231</v>
      </c>
      <c r="E185" t="s">
        <v>221</v>
      </c>
      <c r="F185" t="s">
        <v>495</v>
      </c>
      <c r="G185" t="s">
        <v>281</v>
      </c>
      <c r="I185" s="25">
        <v>46146</v>
      </c>
      <c r="J185" s="12">
        <v>0.47638888888888892</v>
      </c>
      <c r="K185" s="12">
        <v>0.48333333333333334</v>
      </c>
      <c r="L185" s="12">
        <v>0.53472222222222221</v>
      </c>
      <c r="M185" s="13">
        <v>24220</v>
      </c>
      <c r="N185" s="13">
        <v>0</v>
      </c>
      <c r="O185" s="13">
        <f t="shared" si="12"/>
        <v>24220</v>
      </c>
      <c r="P185" s="9" t="s">
        <v>24</v>
      </c>
      <c r="Q185" s="13">
        <v>10</v>
      </c>
      <c r="R185" t="s">
        <v>260</v>
      </c>
      <c r="S185" s="9" t="s">
        <v>11</v>
      </c>
      <c r="T185" s="9"/>
      <c r="U185" s="9"/>
      <c r="V185" s="9" t="s">
        <v>197</v>
      </c>
      <c r="W185" s="9" t="s">
        <v>149</v>
      </c>
      <c r="X185" s="9" t="s">
        <v>122</v>
      </c>
      <c r="Y185" s="9" t="s">
        <v>150</v>
      </c>
      <c r="Z185" s="9" t="s">
        <v>157</v>
      </c>
      <c r="AA185" s="9" t="s">
        <v>157</v>
      </c>
      <c r="AB185" s="9" t="s">
        <v>496</v>
      </c>
    </row>
    <row r="186" spans="2:28" x14ac:dyDescent="0.3">
      <c r="B186">
        <f t="shared" si="13"/>
        <v>182</v>
      </c>
      <c r="D186" t="s">
        <v>231</v>
      </c>
      <c r="E186" t="s">
        <v>221</v>
      </c>
      <c r="F186" t="s">
        <v>497</v>
      </c>
      <c r="G186" t="s">
        <v>502</v>
      </c>
      <c r="I186" s="25">
        <v>46147</v>
      </c>
      <c r="J186" s="12">
        <v>0</v>
      </c>
      <c r="K186" s="12">
        <v>0</v>
      </c>
      <c r="L186" s="12">
        <v>0</v>
      </c>
      <c r="M186" s="13">
        <v>0</v>
      </c>
      <c r="N186" s="13">
        <v>0</v>
      </c>
      <c r="O186" s="13">
        <f t="shared" si="12"/>
        <v>0</v>
      </c>
      <c r="P186" s="9" t="s">
        <v>24</v>
      </c>
      <c r="Q186" s="13">
        <v>8</v>
      </c>
      <c r="R186" t="s">
        <v>260</v>
      </c>
      <c r="S186" s="9" t="s">
        <v>11</v>
      </c>
      <c r="T186" s="9"/>
      <c r="U186" s="9"/>
      <c r="V186" s="9" t="s">
        <v>197</v>
      </c>
      <c r="W186" s="9" t="s">
        <v>149</v>
      </c>
      <c r="X186" s="9" t="s">
        <v>122</v>
      </c>
      <c r="Y186" s="9" t="s">
        <v>154</v>
      </c>
      <c r="Z186" s="9" t="s">
        <v>88</v>
      </c>
      <c r="AA186" s="9" t="s">
        <v>88</v>
      </c>
      <c r="AB186" s="9" t="s">
        <v>503</v>
      </c>
    </row>
    <row r="187" spans="2:28" x14ac:dyDescent="0.3">
      <c r="B187">
        <f t="shared" si="13"/>
        <v>183</v>
      </c>
      <c r="D187" t="s">
        <v>368</v>
      </c>
      <c r="E187" t="s">
        <v>221</v>
      </c>
      <c r="F187" t="s">
        <v>498</v>
      </c>
      <c r="G187" t="s">
        <v>502</v>
      </c>
      <c r="I187" s="25">
        <v>46147</v>
      </c>
      <c r="J187" s="12">
        <v>0</v>
      </c>
      <c r="K187" s="12">
        <v>0</v>
      </c>
      <c r="L187" s="12">
        <v>0</v>
      </c>
      <c r="M187" s="13">
        <v>0</v>
      </c>
      <c r="N187" s="13">
        <v>0</v>
      </c>
      <c r="O187" s="13">
        <f t="shared" si="12"/>
        <v>0</v>
      </c>
      <c r="P187" s="9" t="s">
        <v>24</v>
      </c>
      <c r="Q187" s="13">
        <v>8</v>
      </c>
      <c r="R187" t="s">
        <v>260</v>
      </c>
      <c r="S187" s="9" t="s">
        <v>11</v>
      </c>
      <c r="T187" s="9"/>
      <c r="U187" s="9"/>
      <c r="V187" s="9" t="s">
        <v>197</v>
      </c>
      <c r="W187" s="9" t="s">
        <v>149</v>
      </c>
      <c r="X187" s="9" t="s">
        <v>122</v>
      </c>
      <c r="Y187" s="9" t="s">
        <v>154</v>
      </c>
      <c r="Z187" s="9" t="s">
        <v>88</v>
      </c>
      <c r="AA187" s="9" t="s">
        <v>88</v>
      </c>
      <c r="AB187" s="9" t="s">
        <v>503</v>
      </c>
    </row>
    <row r="188" spans="2:28" x14ac:dyDescent="0.3">
      <c r="B188">
        <f t="shared" si="13"/>
        <v>184</v>
      </c>
      <c r="D188" t="s">
        <v>235</v>
      </c>
      <c r="E188" t="s">
        <v>221</v>
      </c>
      <c r="F188" t="s">
        <v>499</v>
      </c>
      <c r="G188" t="s">
        <v>502</v>
      </c>
      <c r="I188" s="25">
        <v>46147</v>
      </c>
      <c r="J188" s="12">
        <v>0</v>
      </c>
      <c r="K188" s="12">
        <v>0</v>
      </c>
      <c r="L188" s="12">
        <v>0</v>
      </c>
      <c r="M188" s="13">
        <v>0</v>
      </c>
      <c r="N188" s="13">
        <v>0</v>
      </c>
      <c r="O188" s="13">
        <f t="shared" si="12"/>
        <v>0</v>
      </c>
      <c r="P188" s="9" t="s">
        <v>24</v>
      </c>
      <c r="Q188" s="13">
        <v>8</v>
      </c>
      <c r="R188" t="s">
        <v>260</v>
      </c>
      <c r="S188" s="9" t="s">
        <v>11</v>
      </c>
      <c r="T188" s="9"/>
      <c r="U188" s="9"/>
      <c r="V188" s="9" t="s">
        <v>197</v>
      </c>
      <c r="W188" s="9" t="s">
        <v>149</v>
      </c>
      <c r="X188" s="9" t="s">
        <v>122</v>
      </c>
      <c r="Y188" s="9" t="s">
        <v>154</v>
      </c>
      <c r="Z188" s="9" t="s">
        <v>88</v>
      </c>
      <c r="AA188" s="9" t="s">
        <v>88</v>
      </c>
      <c r="AB188" s="9" t="s">
        <v>503</v>
      </c>
    </row>
    <row r="189" spans="2:28" x14ac:dyDescent="0.3">
      <c r="B189">
        <f t="shared" si="13"/>
        <v>185</v>
      </c>
      <c r="D189" t="s">
        <v>231</v>
      </c>
      <c r="E189" t="s">
        <v>221</v>
      </c>
      <c r="F189" t="s">
        <v>500</v>
      </c>
      <c r="G189" t="s">
        <v>502</v>
      </c>
      <c r="I189" s="25">
        <v>46147</v>
      </c>
      <c r="J189" s="12">
        <v>0.74444444444444446</v>
      </c>
      <c r="K189" s="12">
        <v>0.77986111111111101</v>
      </c>
      <c r="L189" s="12">
        <v>0.79652777777777783</v>
      </c>
      <c r="M189" s="13">
        <v>19100</v>
      </c>
      <c r="N189" s="13">
        <v>0</v>
      </c>
      <c r="O189" s="13">
        <f t="shared" si="12"/>
        <v>19100</v>
      </c>
      <c r="P189" s="9" t="s">
        <v>24</v>
      </c>
      <c r="Q189" s="13">
        <v>8</v>
      </c>
      <c r="R189" t="s">
        <v>260</v>
      </c>
      <c r="S189" s="9" t="s">
        <v>11</v>
      </c>
      <c r="T189" s="9"/>
      <c r="U189" s="9"/>
      <c r="V189" s="9" t="s">
        <v>197</v>
      </c>
      <c r="W189" s="9" t="s">
        <v>149</v>
      </c>
      <c r="X189" s="9" t="s">
        <v>122</v>
      </c>
      <c r="Y189" s="9" t="s">
        <v>154</v>
      </c>
      <c r="Z189" s="9" t="s">
        <v>88</v>
      </c>
      <c r="AA189" s="9" t="s">
        <v>88</v>
      </c>
      <c r="AB189" s="9" t="s">
        <v>503</v>
      </c>
    </row>
    <row r="190" spans="2:28" x14ac:dyDescent="0.3">
      <c r="B190">
        <f t="shared" si="13"/>
        <v>186</v>
      </c>
      <c r="D190" t="s">
        <v>251</v>
      </c>
      <c r="E190" t="s">
        <v>221</v>
      </c>
      <c r="F190" t="s">
        <v>501</v>
      </c>
      <c r="G190" t="s">
        <v>502</v>
      </c>
      <c r="I190" s="25">
        <v>46147</v>
      </c>
      <c r="J190" s="12">
        <v>0.78055555555555556</v>
      </c>
      <c r="K190" s="12">
        <v>0.8125</v>
      </c>
      <c r="L190" s="12">
        <v>0.82291666666666663</v>
      </c>
      <c r="M190" s="13">
        <v>19040</v>
      </c>
      <c r="N190" s="13">
        <v>0</v>
      </c>
      <c r="O190" s="13">
        <f t="shared" si="12"/>
        <v>19040</v>
      </c>
      <c r="P190" s="9" t="s">
        <v>24</v>
      </c>
      <c r="Q190" s="13">
        <v>2</v>
      </c>
      <c r="R190" t="s">
        <v>260</v>
      </c>
      <c r="S190" s="9" t="s">
        <v>11</v>
      </c>
      <c r="T190" s="9"/>
      <c r="U190" s="9"/>
      <c r="V190" s="9" t="s">
        <v>197</v>
      </c>
      <c r="W190" s="9" t="s">
        <v>149</v>
      </c>
      <c r="X190" s="9" t="s">
        <v>122</v>
      </c>
      <c r="Y190" s="9" t="s">
        <v>154</v>
      </c>
      <c r="Z190" s="9" t="s">
        <v>88</v>
      </c>
      <c r="AA190" s="9" t="s">
        <v>88</v>
      </c>
      <c r="AB190" s="9" t="s">
        <v>503</v>
      </c>
    </row>
    <row r="191" spans="2:28" x14ac:dyDescent="0.3">
      <c r="B191">
        <f t="shared" si="13"/>
        <v>187</v>
      </c>
      <c r="D191" t="s">
        <v>223</v>
      </c>
      <c r="E191" t="s">
        <v>221</v>
      </c>
      <c r="F191" t="s">
        <v>504</v>
      </c>
      <c r="G191" t="s">
        <v>281</v>
      </c>
      <c r="I191" s="25">
        <v>46148</v>
      </c>
      <c r="J191" s="12">
        <v>0</v>
      </c>
      <c r="K191" s="12">
        <v>0</v>
      </c>
      <c r="L191" s="12">
        <v>0</v>
      </c>
      <c r="M191" s="13">
        <v>0</v>
      </c>
      <c r="N191" s="13">
        <v>0</v>
      </c>
      <c r="O191" s="13">
        <f t="shared" si="12"/>
        <v>0</v>
      </c>
      <c r="P191" s="9" t="s">
        <v>24</v>
      </c>
      <c r="Q191" s="13">
        <v>10</v>
      </c>
      <c r="R191" t="s">
        <v>260</v>
      </c>
      <c r="S191" s="9" t="s">
        <v>11</v>
      </c>
      <c r="T191" s="9"/>
      <c r="U191" s="9"/>
      <c r="V191" s="9" t="s">
        <v>197</v>
      </c>
      <c r="W191" s="9" t="s">
        <v>149</v>
      </c>
      <c r="X191" s="9" t="s">
        <v>122</v>
      </c>
      <c r="Y191" s="9" t="s">
        <v>154</v>
      </c>
      <c r="Z191" s="9" t="s">
        <v>88</v>
      </c>
      <c r="AA191" s="9" t="s">
        <v>88</v>
      </c>
      <c r="AB191" s="9" t="s">
        <v>507</v>
      </c>
    </row>
    <row r="192" spans="2:28" x14ac:dyDescent="0.3">
      <c r="B192">
        <f t="shared" si="13"/>
        <v>188</v>
      </c>
      <c r="D192" t="s">
        <v>223</v>
      </c>
      <c r="E192" t="s">
        <v>221</v>
      </c>
      <c r="F192" t="s">
        <v>505</v>
      </c>
      <c r="G192" t="s">
        <v>281</v>
      </c>
      <c r="I192" s="25">
        <v>46148</v>
      </c>
      <c r="J192" s="12">
        <v>0.69791666666666663</v>
      </c>
      <c r="K192" s="12">
        <v>0.70416666666666661</v>
      </c>
      <c r="L192" s="12">
        <v>0.72916666666666663</v>
      </c>
      <c r="M192" s="13">
        <v>24100</v>
      </c>
      <c r="N192" s="13">
        <v>0</v>
      </c>
      <c r="O192" s="13">
        <f t="shared" si="12"/>
        <v>24100</v>
      </c>
      <c r="P192" s="9" t="s">
        <v>24</v>
      </c>
      <c r="Q192" s="13">
        <v>10</v>
      </c>
      <c r="R192" t="s">
        <v>260</v>
      </c>
      <c r="S192" s="9" t="s">
        <v>11</v>
      </c>
      <c r="T192" s="9"/>
      <c r="U192" s="9"/>
      <c r="V192" s="9" t="s">
        <v>197</v>
      </c>
      <c r="W192" s="9" t="s">
        <v>149</v>
      </c>
      <c r="X192" s="9" t="s">
        <v>122</v>
      </c>
      <c r="Y192" s="9" t="s">
        <v>154</v>
      </c>
      <c r="Z192" s="9" t="s">
        <v>88</v>
      </c>
      <c r="AA192" s="9" t="s">
        <v>88</v>
      </c>
      <c r="AB192" s="9" t="s">
        <v>507</v>
      </c>
    </row>
    <row r="193" spans="2:28" x14ac:dyDescent="0.3">
      <c r="B193">
        <f t="shared" si="13"/>
        <v>189</v>
      </c>
      <c r="D193" t="s">
        <v>223</v>
      </c>
      <c r="E193" t="s">
        <v>221</v>
      </c>
      <c r="F193" t="s">
        <v>506</v>
      </c>
      <c r="G193" t="s">
        <v>281</v>
      </c>
      <c r="I193" s="25">
        <v>46148</v>
      </c>
      <c r="J193" s="12">
        <v>0</v>
      </c>
      <c r="K193" s="12">
        <v>0</v>
      </c>
      <c r="L193" s="12">
        <v>0</v>
      </c>
      <c r="M193" s="13">
        <v>0</v>
      </c>
      <c r="N193" s="13">
        <v>0</v>
      </c>
      <c r="O193" s="13">
        <f t="shared" si="12"/>
        <v>0</v>
      </c>
      <c r="P193" s="9" t="s">
        <v>24</v>
      </c>
      <c r="Q193" s="13">
        <v>10</v>
      </c>
      <c r="R193" t="s">
        <v>260</v>
      </c>
      <c r="S193" s="9" t="s">
        <v>11</v>
      </c>
      <c r="T193" s="9"/>
      <c r="U193" s="9"/>
      <c r="V193" s="9" t="s">
        <v>76</v>
      </c>
      <c r="W193" s="9" t="s">
        <v>146</v>
      </c>
      <c r="X193" s="9" t="s">
        <v>66</v>
      </c>
      <c r="Y193" s="9" t="s">
        <v>150</v>
      </c>
      <c r="Z193" s="9" t="s">
        <v>161</v>
      </c>
      <c r="AA193" s="9" t="s">
        <v>161</v>
      </c>
      <c r="AB193" s="9" t="s">
        <v>508</v>
      </c>
    </row>
    <row r="194" spans="2:28" x14ac:dyDescent="0.3">
      <c r="B194">
        <f t="shared" si="13"/>
        <v>190</v>
      </c>
      <c r="D194" t="s">
        <v>231</v>
      </c>
      <c r="E194" t="s">
        <v>221</v>
      </c>
      <c r="F194" t="s">
        <v>510</v>
      </c>
      <c r="G194" t="s">
        <v>502</v>
      </c>
      <c r="I194" s="25">
        <v>46149</v>
      </c>
      <c r="J194" s="12">
        <v>0</v>
      </c>
      <c r="K194" s="12">
        <v>0</v>
      </c>
      <c r="L194" s="12">
        <v>0</v>
      </c>
      <c r="M194" s="13">
        <v>0</v>
      </c>
      <c r="N194" s="13">
        <v>0</v>
      </c>
      <c r="O194" s="13">
        <f t="shared" si="12"/>
        <v>0</v>
      </c>
      <c r="P194" s="9" t="s">
        <v>24</v>
      </c>
      <c r="Q194" s="13">
        <v>4</v>
      </c>
      <c r="R194" t="s">
        <v>260</v>
      </c>
      <c r="S194" s="9" t="s">
        <v>11</v>
      </c>
      <c r="T194" s="9"/>
      <c r="U194" s="9"/>
      <c r="V194" s="9" t="s">
        <v>77</v>
      </c>
      <c r="W194" s="9" t="s">
        <v>145</v>
      </c>
      <c r="X194" s="9" t="s">
        <v>65</v>
      </c>
      <c r="Y194" s="9" t="s">
        <v>88</v>
      </c>
      <c r="Z194" s="9" t="s">
        <v>88</v>
      </c>
      <c r="AA194" s="9" t="s">
        <v>88</v>
      </c>
      <c r="AB194" s="9" t="s">
        <v>509</v>
      </c>
    </row>
    <row r="195" spans="2:28" x14ac:dyDescent="0.3">
      <c r="B195">
        <f t="shared" si="13"/>
        <v>191</v>
      </c>
      <c r="D195" t="s">
        <v>216</v>
      </c>
      <c r="E195" t="s">
        <v>221</v>
      </c>
      <c r="F195" t="s">
        <v>511</v>
      </c>
      <c r="G195" t="s">
        <v>502</v>
      </c>
      <c r="I195" s="25">
        <v>46149</v>
      </c>
      <c r="J195" s="12">
        <v>0.57500000000000007</v>
      </c>
      <c r="K195" s="12">
        <v>0.60138888888888886</v>
      </c>
      <c r="L195" s="12">
        <v>0.6118055555555556</v>
      </c>
      <c r="M195" s="13">
        <v>19120</v>
      </c>
      <c r="N195" s="13">
        <v>0</v>
      </c>
      <c r="O195" s="13">
        <f t="shared" si="12"/>
        <v>19120</v>
      </c>
      <c r="P195" s="9" t="s">
        <v>24</v>
      </c>
      <c r="Q195" s="13">
        <v>8</v>
      </c>
      <c r="R195" t="s">
        <v>260</v>
      </c>
      <c r="S195" s="9" t="s">
        <v>11</v>
      </c>
      <c r="T195" s="9"/>
      <c r="U195" s="9"/>
      <c r="V195" s="9" t="s">
        <v>77</v>
      </c>
      <c r="W195" s="9" t="s">
        <v>145</v>
      </c>
      <c r="X195" s="9" t="s">
        <v>65</v>
      </c>
      <c r="Y195" s="9" t="s">
        <v>88</v>
      </c>
      <c r="Z195" s="9" t="s">
        <v>88</v>
      </c>
      <c r="AA195" s="9" t="s">
        <v>88</v>
      </c>
      <c r="AB195" s="9" t="s">
        <v>509</v>
      </c>
    </row>
    <row r="196" spans="2:28" x14ac:dyDescent="0.3">
      <c r="B196">
        <f t="shared" si="13"/>
        <v>192</v>
      </c>
      <c r="D196" t="s">
        <v>229</v>
      </c>
      <c r="E196" t="s">
        <v>217</v>
      </c>
      <c r="F196" t="s">
        <v>512</v>
      </c>
      <c r="G196" t="s">
        <v>411</v>
      </c>
      <c r="I196" s="25">
        <v>46149</v>
      </c>
      <c r="J196" s="12">
        <v>0.58958333333333335</v>
      </c>
      <c r="K196" s="12">
        <v>0.60972222222222217</v>
      </c>
      <c r="L196" s="12">
        <v>0.62083333333333335</v>
      </c>
      <c r="M196" s="13">
        <v>19900</v>
      </c>
      <c r="N196" s="13">
        <v>0</v>
      </c>
      <c r="O196" s="13">
        <f t="shared" si="12"/>
        <v>19900</v>
      </c>
      <c r="P196" s="9" t="s">
        <v>24</v>
      </c>
      <c r="Q196" s="13">
        <v>8</v>
      </c>
      <c r="R196" t="s">
        <v>260</v>
      </c>
      <c r="S196" s="9" t="s">
        <v>11</v>
      </c>
      <c r="T196" s="9"/>
      <c r="U196" s="9"/>
      <c r="V196" s="9" t="s">
        <v>76</v>
      </c>
      <c r="W196" s="9" t="s">
        <v>146</v>
      </c>
      <c r="X196" s="9" t="s">
        <v>90</v>
      </c>
      <c r="Y196" s="9" t="s">
        <v>150</v>
      </c>
      <c r="Z196" s="9" t="s">
        <v>161</v>
      </c>
      <c r="AA196" s="9" t="s">
        <v>161</v>
      </c>
      <c r="AB196" s="9" t="s">
        <v>509</v>
      </c>
    </row>
    <row r="197" spans="2:28" x14ac:dyDescent="0.3">
      <c r="B197">
        <f t="shared" si="13"/>
        <v>193</v>
      </c>
      <c r="D197" t="s">
        <v>231</v>
      </c>
      <c r="E197" t="s">
        <v>221</v>
      </c>
      <c r="F197" t="s">
        <v>513</v>
      </c>
      <c r="G197" t="s">
        <v>502</v>
      </c>
      <c r="I197" s="25">
        <v>46149</v>
      </c>
      <c r="J197" s="12">
        <v>0.52500000000000002</v>
      </c>
      <c r="K197" s="12">
        <v>0.57152777777777775</v>
      </c>
      <c r="L197" s="12">
        <v>0.58263888888888882</v>
      </c>
      <c r="M197" s="13">
        <v>19280</v>
      </c>
      <c r="N197" s="13">
        <v>0</v>
      </c>
      <c r="O197" s="13">
        <f t="shared" ref="O197:O260" si="14">+M197-N197</f>
        <v>19280</v>
      </c>
      <c r="P197" s="9" t="s">
        <v>24</v>
      </c>
      <c r="Q197" s="13">
        <v>8</v>
      </c>
      <c r="R197" t="s">
        <v>260</v>
      </c>
      <c r="S197" s="9" t="s">
        <v>11</v>
      </c>
      <c r="T197" s="9"/>
      <c r="U197" s="9"/>
      <c r="V197" s="9" t="s">
        <v>77</v>
      </c>
      <c r="W197" s="9" t="s">
        <v>145</v>
      </c>
      <c r="X197" s="9" t="s">
        <v>65</v>
      </c>
      <c r="Y197" s="9" t="s">
        <v>88</v>
      </c>
      <c r="Z197" s="9" t="s">
        <v>88</v>
      </c>
      <c r="AA197" s="9" t="s">
        <v>88</v>
      </c>
      <c r="AB197" s="9" t="s">
        <v>509</v>
      </c>
    </row>
    <row r="198" spans="2:28" x14ac:dyDescent="0.3">
      <c r="B198">
        <f t="shared" si="13"/>
        <v>194</v>
      </c>
      <c r="D198" t="s">
        <v>216</v>
      </c>
      <c r="E198" t="s">
        <v>221</v>
      </c>
      <c r="F198" t="s">
        <v>514</v>
      </c>
      <c r="G198" t="s">
        <v>502</v>
      </c>
      <c r="I198" s="25">
        <v>46149</v>
      </c>
      <c r="J198" s="12">
        <v>0.47083333333333338</v>
      </c>
      <c r="K198" s="12">
        <v>0.49652777777777773</v>
      </c>
      <c r="L198" s="12">
        <v>0.51666666666666672</v>
      </c>
      <c r="M198" s="13">
        <v>19080</v>
      </c>
      <c r="N198" s="13">
        <v>0</v>
      </c>
      <c r="O198" s="13">
        <f t="shared" si="14"/>
        <v>19080</v>
      </c>
      <c r="P198" s="9" t="s">
        <v>24</v>
      </c>
      <c r="Q198" s="13">
        <v>8</v>
      </c>
      <c r="R198" t="s">
        <v>260</v>
      </c>
      <c r="S198" s="9" t="s">
        <v>11</v>
      </c>
      <c r="T198" s="9"/>
      <c r="U198" s="9"/>
      <c r="V198" s="9" t="s">
        <v>77</v>
      </c>
      <c r="W198" s="9" t="s">
        <v>145</v>
      </c>
      <c r="X198" s="9" t="s">
        <v>65</v>
      </c>
      <c r="Y198" s="9" t="s">
        <v>88</v>
      </c>
      <c r="Z198" s="9" t="s">
        <v>88</v>
      </c>
      <c r="AA198" s="9" t="s">
        <v>88</v>
      </c>
      <c r="AB198" s="9" t="s">
        <v>509</v>
      </c>
    </row>
    <row r="199" spans="2:28" x14ac:dyDescent="0.3">
      <c r="B199">
        <f t="shared" ref="B199:B262" si="15">+B198+1</f>
        <v>195</v>
      </c>
      <c r="D199" t="s">
        <v>229</v>
      </c>
      <c r="E199" t="s">
        <v>221</v>
      </c>
      <c r="F199" t="s">
        <v>515</v>
      </c>
      <c r="G199" t="s">
        <v>502</v>
      </c>
      <c r="I199" s="25">
        <v>46149</v>
      </c>
      <c r="J199" s="12">
        <v>0.46875</v>
      </c>
      <c r="K199" s="12">
        <v>0.49444444444444446</v>
      </c>
      <c r="L199" s="12">
        <v>0.51041666666666663</v>
      </c>
      <c r="M199" s="13">
        <v>18800</v>
      </c>
      <c r="N199" s="13">
        <v>0</v>
      </c>
      <c r="O199" s="13">
        <f t="shared" si="14"/>
        <v>18800</v>
      </c>
      <c r="P199" s="9" t="s">
        <v>24</v>
      </c>
      <c r="Q199" s="13">
        <v>8</v>
      </c>
      <c r="R199" t="s">
        <v>260</v>
      </c>
      <c r="S199" s="9" t="s">
        <v>11</v>
      </c>
      <c r="T199" s="9"/>
      <c r="U199" s="9"/>
      <c r="V199" s="9" t="s">
        <v>77</v>
      </c>
      <c r="W199" s="9" t="s">
        <v>145</v>
      </c>
      <c r="X199" s="9" t="s">
        <v>65</v>
      </c>
      <c r="Y199" s="9" t="s">
        <v>88</v>
      </c>
      <c r="Z199" s="9" t="s">
        <v>88</v>
      </c>
      <c r="AA199" s="9" t="s">
        <v>88</v>
      </c>
      <c r="AB199" s="9" t="s">
        <v>509</v>
      </c>
    </row>
    <row r="200" spans="2:28" x14ac:dyDescent="0.3">
      <c r="B200">
        <f t="shared" si="15"/>
        <v>196</v>
      </c>
      <c r="D200" t="s">
        <v>251</v>
      </c>
      <c r="E200" t="s">
        <v>221</v>
      </c>
      <c r="F200" t="s">
        <v>516</v>
      </c>
      <c r="G200" t="s">
        <v>502</v>
      </c>
      <c r="I200" s="25">
        <v>46149</v>
      </c>
      <c r="J200" s="12">
        <v>0.46319444444444446</v>
      </c>
      <c r="K200" s="12">
        <v>0.4909722222222222</v>
      </c>
      <c r="L200" s="12">
        <v>0.50347222222222221</v>
      </c>
      <c r="M200" s="13">
        <v>19120</v>
      </c>
      <c r="N200" s="13">
        <v>0</v>
      </c>
      <c r="O200" s="13">
        <f t="shared" si="14"/>
        <v>19120</v>
      </c>
      <c r="P200" s="9" t="s">
        <v>24</v>
      </c>
      <c r="Q200" s="13">
        <v>8</v>
      </c>
      <c r="R200" t="s">
        <v>260</v>
      </c>
      <c r="S200" s="9" t="s">
        <v>11</v>
      </c>
      <c r="T200" s="9"/>
      <c r="U200" s="9"/>
      <c r="V200" s="9" t="s">
        <v>77</v>
      </c>
      <c r="W200" s="9" t="s">
        <v>145</v>
      </c>
      <c r="X200" s="9" t="s">
        <v>65</v>
      </c>
      <c r="Y200" s="9" t="s">
        <v>88</v>
      </c>
      <c r="Z200" s="9" t="s">
        <v>88</v>
      </c>
      <c r="AA200" s="9" t="s">
        <v>88</v>
      </c>
      <c r="AB200" s="9" t="s">
        <v>509</v>
      </c>
    </row>
    <row r="201" spans="2:28" x14ac:dyDescent="0.3">
      <c r="B201">
        <f t="shared" si="15"/>
        <v>197</v>
      </c>
      <c r="D201" t="s">
        <v>231</v>
      </c>
      <c r="E201" t="s">
        <v>221</v>
      </c>
      <c r="F201" t="s">
        <v>517</v>
      </c>
      <c r="G201" t="s">
        <v>502</v>
      </c>
      <c r="I201" s="25">
        <v>46149</v>
      </c>
      <c r="J201" s="12">
        <v>0.42569444444444443</v>
      </c>
      <c r="K201" s="12">
        <v>0.47291666666666665</v>
      </c>
      <c r="L201" s="12">
        <v>0.48194444444444445</v>
      </c>
      <c r="M201" s="13">
        <v>18620</v>
      </c>
      <c r="N201" s="13">
        <v>0</v>
      </c>
      <c r="O201" s="13">
        <f t="shared" si="14"/>
        <v>18620</v>
      </c>
      <c r="P201" s="9" t="s">
        <v>24</v>
      </c>
      <c r="Q201" s="13">
        <v>8</v>
      </c>
      <c r="R201" t="s">
        <v>260</v>
      </c>
      <c r="S201" s="9" t="s">
        <v>11</v>
      </c>
      <c r="T201" s="9"/>
      <c r="U201" s="9"/>
      <c r="V201" s="9" t="s">
        <v>77</v>
      </c>
      <c r="W201" s="9" t="s">
        <v>145</v>
      </c>
      <c r="X201" s="9" t="s">
        <v>65</v>
      </c>
      <c r="Y201" s="9" t="s">
        <v>88</v>
      </c>
      <c r="Z201" s="9" t="s">
        <v>88</v>
      </c>
      <c r="AA201" s="9" t="s">
        <v>88</v>
      </c>
      <c r="AB201" s="9" t="s">
        <v>509</v>
      </c>
    </row>
    <row r="202" spans="2:28" x14ac:dyDescent="0.3">
      <c r="B202">
        <f t="shared" si="15"/>
        <v>198</v>
      </c>
      <c r="D202" t="s">
        <v>233</v>
      </c>
      <c r="E202" t="s">
        <v>221</v>
      </c>
      <c r="F202" t="s">
        <v>518</v>
      </c>
      <c r="G202" t="s">
        <v>502</v>
      </c>
      <c r="I202" s="25">
        <v>46149</v>
      </c>
      <c r="J202" s="12">
        <v>0.43611111111111112</v>
      </c>
      <c r="K202" s="12">
        <v>0.46736111111111112</v>
      </c>
      <c r="L202" s="12">
        <v>0.47569444444444442</v>
      </c>
      <c r="M202" s="13">
        <v>19580</v>
      </c>
      <c r="N202" s="13">
        <v>0</v>
      </c>
      <c r="O202" s="13">
        <f t="shared" si="14"/>
        <v>19580</v>
      </c>
      <c r="P202" s="9" t="s">
        <v>24</v>
      </c>
      <c r="Q202" s="13">
        <v>8</v>
      </c>
      <c r="R202" t="s">
        <v>260</v>
      </c>
      <c r="S202" s="9" t="s">
        <v>11</v>
      </c>
      <c r="T202" s="9"/>
      <c r="U202" s="9"/>
      <c r="V202" s="9" t="s">
        <v>77</v>
      </c>
      <c r="W202" s="9" t="s">
        <v>145</v>
      </c>
      <c r="X202" s="9" t="s">
        <v>65</v>
      </c>
      <c r="Y202" s="9" t="s">
        <v>88</v>
      </c>
      <c r="Z202" s="9" t="s">
        <v>88</v>
      </c>
      <c r="AA202" s="9" t="s">
        <v>88</v>
      </c>
      <c r="AB202" s="9" t="s">
        <v>509</v>
      </c>
    </row>
    <row r="203" spans="2:28" x14ac:dyDescent="0.3">
      <c r="B203">
        <f t="shared" si="15"/>
        <v>199</v>
      </c>
      <c r="D203" t="s">
        <v>233</v>
      </c>
      <c r="E203" t="s">
        <v>221</v>
      </c>
      <c r="F203" t="s">
        <v>519</v>
      </c>
      <c r="G203" t="s">
        <v>502</v>
      </c>
      <c r="I203" s="25">
        <v>46149</v>
      </c>
      <c r="J203" s="12">
        <v>0.50069444444444444</v>
      </c>
      <c r="K203" s="12">
        <v>0.53541666666666665</v>
      </c>
      <c r="L203" s="12">
        <v>0.55138888888888882</v>
      </c>
      <c r="M203" s="13">
        <v>19220</v>
      </c>
      <c r="N203" s="13">
        <v>0</v>
      </c>
      <c r="O203" s="13">
        <f t="shared" si="14"/>
        <v>19220</v>
      </c>
      <c r="P203" s="9" t="s">
        <v>24</v>
      </c>
      <c r="Q203" s="13">
        <v>8</v>
      </c>
      <c r="R203" t="s">
        <v>260</v>
      </c>
      <c r="S203" s="9" t="s">
        <v>11</v>
      </c>
      <c r="T203" s="9"/>
      <c r="U203" s="9"/>
      <c r="V203" s="9" t="s">
        <v>77</v>
      </c>
      <c r="W203" s="9" t="s">
        <v>145</v>
      </c>
      <c r="X203" s="9" t="s">
        <v>65</v>
      </c>
      <c r="Y203" s="9" t="s">
        <v>88</v>
      </c>
      <c r="Z203" s="9" t="s">
        <v>88</v>
      </c>
      <c r="AA203" s="9" t="s">
        <v>88</v>
      </c>
      <c r="AB203" s="9" t="s">
        <v>509</v>
      </c>
    </row>
    <row r="204" spans="2:28" x14ac:dyDescent="0.3">
      <c r="B204">
        <f t="shared" si="15"/>
        <v>200</v>
      </c>
      <c r="D204" t="s">
        <v>368</v>
      </c>
      <c r="E204" t="s">
        <v>221</v>
      </c>
      <c r="F204" t="s">
        <v>520</v>
      </c>
      <c r="G204" t="s">
        <v>502</v>
      </c>
      <c r="I204" s="25">
        <v>46149</v>
      </c>
      <c r="J204" s="12">
        <v>0.4548611111111111</v>
      </c>
      <c r="K204" s="12">
        <v>0.48055555555555557</v>
      </c>
      <c r="L204" s="12">
        <v>0.4916666666666667</v>
      </c>
      <c r="M204" s="13">
        <v>18620</v>
      </c>
      <c r="N204" s="13">
        <v>0</v>
      </c>
      <c r="O204" s="13">
        <f t="shared" si="14"/>
        <v>18620</v>
      </c>
      <c r="P204" s="9" t="s">
        <v>24</v>
      </c>
      <c r="Q204" s="13">
        <v>8</v>
      </c>
      <c r="R204" t="s">
        <v>260</v>
      </c>
      <c r="S204" s="9" t="s">
        <v>11</v>
      </c>
      <c r="T204" s="9"/>
      <c r="U204" s="9"/>
      <c r="V204" s="9" t="s">
        <v>77</v>
      </c>
      <c r="W204" s="9" t="s">
        <v>145</v>
      </c>
      <c r="X204" s="9" t="s">
        <v>65</v>
      </c>
      <c r="Y204" s="9" t="s">
        <v>88</v>
      </c>
      <c r="Z204" s="9" t="s">
        <v>88</v>
      </c>
      <c r="AA204" s="9" t="s">
        <v>88</v>
      </c>
      <c r="AB204" s="9" t="s">
        <v>509</v>
      </c>
    </row>
    <row r="205" spans="2:28" x14ac:dyDescent="0.3">
      <c r="B205">
        <f t="shared" si="15"/>
        <v>201</v>
      </c>
      <c r="J205" s="12">
        <v>0</v>
      </c>
      <c r="K205" s="12">
        <v>0</v>
      </c>
      <c r="L205" s="12">
        <v>0</v>
      </c>
      <c r="M205" s="13">
        <v>0</v>
      </c>
      <c r="N205" s="13">
        <v>0</v>
      </c>
      <c r="O205" s="13">
        <f t="shared" si="14"/>
        <v>0</v>
      </c>
      <c r="P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8" x14ac:dyDescent="0.3">
      <c r="B206">
        <f t="shared" si="15"/>
        <v>202</v>
      </c>
      <c r="J206" s="12">
        <v>0</v>
      </c>
      <c r="K206" s="12">
        <v>0</v>
      </c>
      <c r="L206" s="12">
        <v>0</v>
      </c>
      <c r="M206" s="13">
        <v>0</v>
      </c>
      <c r="N206" s="13">
        <v>0</v>
      </c>
      <c r="O206" s="13">
        <f t="shared" si="14"/>
        <v>0</v>
      </c>
      <c r="P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8" x14ac:dyDescent="0.3">
      <c r="B207">
        <f t="shared" si="15"/>
        <v>203</v>
      </c>
      <c r="J207" s="12">
        <v>0</v>
      </c>
      <c r="K207" s="12">
        <v>0</v>
      </c>
      <c r="L207" s="12">
        <v>0</v>
      </c>
      <c r="M207" s="13">
        <v>0</v>
      </c>
      <c r="N207" s="13">
        <v>0</v>
      </c>
      <c r="O207" s="13">
        <f t="shared" si="14"/>
        <v>0</v>
      </c>
      <c r="P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8" x14ac:dyDescent="0.3">
      <c r="B208">
        <f t="shared" si="15"/>
        <v>204</v>
      </c>
      <c r="J208" s="12">
        <v>0</v>
      </c>
      <c r="K208" s="12">
        <v>0</v>
      </c>
      <c r="L208" s="12">
        <v>0</v>
      </c>
      <c r="M208" s="13">
        <v>0</v>
      </c>
      <c r="N208" s="13">
        <v>0</v>
      </c>
      <c r="O208" s="13">
        <f t="shared" si="14"/>
        <v>0</v>
      </c>
      <c r="P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3">
      <c r="B209">
        <f t="shared" si="15"/>
        <v>205</v>
      </c>
      <c r="J209" s="12">
        <v>0</v>
      </c>
      <c r="K209" s="12">
        <v>0</v>
      </c>
      <c r="L209" s="12">
        <v>0</v>
      </c>
      <c r="M209" s="13">
        <v>0</v>
      </c>
      <c r="N209" s="13">
        <v>0</v>
      </c>
      <c r="O209" s="13">
        <f t="shared" si="14"/>
        <v>0</v>
      </c>
      <c r="P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3">
      <c r="B210">
        <f t="shared" si="15"/>
        <v>206</v>
      </c>
      <c r="J210" s="12">
        <v>0</v>
      </c>
      <c r="K210" s="12">
        <v>0</v>
      </c>
      <c r="L210" s="12">
        <v>0</v>
      </c>
      <c r="M210" s="13">
        <v>0</v>
      </c>
      <c r="N210" s="13">
        <v>0</v>
      </c>
      <c r="O210" s="13">
        <f t="shared" si="14"/>
        <v>0</v>
      </c>
      <c r="P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3">
      <c r="B211">
        <f t="shared" si="15"/>
        <v>207</v>
      </c>
      <c r="J211" s="12">
        <v>0</v>
      </c>
      <c r="K211" s="12">
        <v>0</v>
      </c>
      <c r="L211" s="12">
        <v>0</v>
      </c>
      <c r="M211" s="13">
        <v>0</v>
      </c>
      <c r="N211" s="13">
        <v>0</v>
      </c>
      <c r="O211" s="13">
        <f t="shared" si="14"/>
        <v>0</v>
      </c>
      <c r="P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3">
      <c r="B212">
        <f t="shared" si="15"/>
        <v>208</v>
      </c>
      <c r="J212" s="12">
        <v>0</v>
      </c>
      <c r="K212" s="12">
        <v>0</v>
      </c>
      <c r="L212" s="12">
        <v>0</v>
      </c>
      <c r="M212" s="13">
        <v>0</v>
      </c>
      <c r="N212" s="13">
        <v>0</v>
      </c>
      <c r="O212" s="13">
        <f t="shared" si="14"/>
        <v>0</v>
      </c>
      <c r="P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3">
      <c r="B213">
        <f t="shared" si="15"/>
        <v>209</v>
      </c>
      <c r="J213" s="12">
        <v>0</v>
      </c>
      <c r="K213" s="12">
        <v>0</v>
      </c>
      <c r="L213" s="12">
        <v>0</v>
      </c>
      <c r="M213" s="13">
        <v>0</v>
      </c>
      <c r="N213" s="13">
        <v>0</v>
      </c>
      <c r="O213" s="13">
        <f t="shared" si="14"/>
        <v>0</v>
      </c>
      <c r="P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3">
      <c r="B214">
        <f t="shared" si="15"/>
        <v>210</v>
      </c>
      <c r="J214" s="12">
        <v>0</v>
      </c>
      <c r="K214" s="12">
        <v>0</v>
      </c>
      <c r="L214" s="12">
        <v>0</v>
      </c>
      <c r="M214" s="13">
        <v>0</v>
      </c>
      <c r="N214" s="13">
        <v>0</v>
      </c>
      <c r="O214" s="13">
        <f t="shared" si="14"/>
        <v>0</v>
      </c>
      <c r="P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3">
      <c r="B215">
        <f t="shared" si="15"/>
        <v>211</v>
      </c>
      <c r="J215" s="12">
        <v>0</v>
      </c>
      <c r="K215" s="12">
        <v>0</v>
      </c>
      <c r="L215" s="12">
        <v>0</v>
      </c>
      <c r="M215" s="13">
        <v>0</v>
      </c>
      <c r="N215" s="13">
        <v>0</v>
      </c>
      <c r="O215" s="13">
        <f t="shared" si="14"/>
        <v>0</v>
      </c>
      <c r="P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3">
      <c r="B216">
        <f t="shared" si="15"/>
        <v>212</v>
      </c>
      <c r="J216" s="12">
        <v>0</v>
      </c>
      <c r="K216" s="12">
        <v>0</v>
      </c>
      <c r="L216" s="12">
        <v>0</v>
      </c>
      <c r="M216" s="13">
        <v>0</v>
      </c>
      <c r="N216" s="13">
        <v>0</v>
      </c>
      <c r="O216" s="13">
        <f t="shared" si="14"/>
        <v>0</v>
      </c>
      <c r="P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3">
      <c r="B217">
        <f t="shared" si="15"/>
        <v>213</v>
      </c>
      <c r="J217" s="12">
        <v>0</v>
      </c>
      <c r="K217" s="12">
        <v>0</v>
      </c>
      <c r="L217" s="12">
        <v>0</v>
      </c>
      <c r="M217" s="13">
        <v>0</v>
      </c>
      <c r="N217" s="13">
        <v>0</v>
      </c>
      <c r="O217" s="13">
        <f t="shared" si="14"/>
        <v>0</v>
      </c>
      <c r="P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3">
      <c r="B218">
        <f t="shared" si="15"/>
        <v>214</v>
      </c>
      <c r="J218" s="12">
        <v>0</v>
      </c>
      <c r="K218" s="12">
        <v>0</v>
      </c>
      <c r="L218" s="12">
        <v>0</v>
      </c>
      <c r="M218" s="13">
        <v>0</v>
      </c>
      <c r="N218" s="13">
        <v>0</v>
      </c>
      <c r="O218" s="13">
        <f t="shared" si="14"/>
        <v>0</v>
      </c>
      <c r="P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3">
      <c r="B219">
        <f t="shared" si="15"/>
        <v>215</v>
      </c>
      <c r="J219" s="12">
        <v>0</v>
      </c>
      <c r="K219" s="12">
        <v>0</v>
      </c>
      <c r="L219" s="12">
        <v>0</v>
      </c>
      <c r="M219" s="13">
        <v>0</v>
      </c>
      <c r="N219" s="13">
        <v>0</v>
      </c>
      <c r="O219" s="13">
        <f t="shared" si="14"/>
        <v>0</v>
      </c>
      <c r="P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3">
      <c r="B220">
        <f t="shared" si="15"/>
        <v>216</v>
      </c>
      <c r="J220" s="12">
        <v>0</v>
      </c>
      <c r="K220" s="12">
        <v>0</v>
      </c>
      <c r="L220" s="12">
        <v>0</v>
      </c>
      <c r="M220" s="13">
        <v>0</v>
      </c>
      <c r="N220" s="13">
        <v>0</v>
      </c>
      <c r="O220" s="13">
        <f t="shared" si="14"/>
        <v>0</v>
      </c>
      <c r="P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3">
      <c r="B221">
        <f t="shared" si="15"/>
        <v>217</v>
      </c>
      <c r="J221" s="12">
        <v>0</v>
      </c>
      <c r="K221" s="12">
        <v>0</v>
      </c>
      <c r="L221" s="12">
        <v>0</v>
      </c>
      <c r="M221" s="13">
        <v>0</v>
      </c>
      <c r="N221" s="13">
        <v>0</v>
      </c>
      <c r="O221" s="13">
        <f t="shared" si="14"/>
        <v>0</v>
      </c>
      <c r="P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3">
      <c r="B222">
        <f t="shared" si="15"/>
        <v>218</v>
      </c>
      <c r="J222" s="12">
        <v>0</v>
      </c>
      <c r="K222" s="12">
        <v>0</v>
      </c>
      <c r="L222" s="12">
        <v>0</v>
      </c>
      <c r="M222" s="13">
        <v>0</v>
      </c>
      <c r="N222" s="13">
        <v>0</v>
      </c>
      <c r="O222" s="13">
        <f t="shared" si="14"/>
        <v>0</v>
      </c>
      <c r="P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3">
      <c r="B223">
        <f t="shared" si="15"/>
        <v>219</v>
      </c>
      <c r="J223" s="12">
        <v>0</v>
      </c>
      <c r="K223" s="12">
        <v>0</v>
      </c>
      <c r="L223" s="12">
        <v>0</v>
      </c>
      <c r="M223" s="13">
        <v>0</v>
      </c>
      <c r="N223" s="13">
        <v>0</v>
      </c>
      <c r="O223" s="13">
        <f t="shared" si="14"/>
        <v>0</v>
      </c>
      <c r="P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3">
      <c r="B224">
        <f t="shared" si="15"/>
        <v>220</v>
      </c>
      <c r="J224" s="12">
        <v>0</v>
      </c>
      <c r="K224" s="12">
        <v>0</v>
      </c>
      <c r="L224" s="12">
        <v>0</v>
      </c>
      <c r="M224" s="13">
        <v>0</v>
      </c>
      <c r="N224" s="13">
        <v>0</v>
      </c>
      <c r="O224" s="13">
        <f t="shared" si="14"/>
        <v>0</v>
      </c>
      <c r="P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3">
      <c r="B225">
        <f t="shared" si="15"/>
        <v>221</v>
      </c>
      <c r="J225" s="12">
        <v>0</v>
      </c>
      <c r="K225" s="12">
        <v>0</v>
      </c>
      <c r="L225" s="12">
        <v>0</v>
      </c>
      <c r="M225" s="13">
        <v>0</v>
      </c>
      <c r="N225" s="13">
        <v>0</v>
      </c>
      <c r="O225" s="13">
        <f t="shared" si="14"/>
        <v>0</v>
      </c>
      <c r="P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3">
      <c r="B226">
        <f t="shared" si="15"/>
        <v>222</v>
      </c>
      <c r="J226" s="12">
        <v>0</v>
      </c>
      <c r="K226" s="12">
        <v>0</v>
      </c>
      <c r="L226" s="12">
        <v>0</v>
      </c>
      <c r="M226" s="13">
        <v>0</v>
      </c>
      <c r="N226" s="13">
        <v>0</v>
      </c>
      <c r="O226" s="13">
        <f t="shared" si="14"/>
        <v>0</v>
      </c>
      <c r="P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3">
      <c r="B227">
        <f t="shared" si="15"/>
        <v>223</v>
      </c>
      <c r="J227" s="12">
        <v>0</v>
      </c>
      <c r="K227" s="12">
        <v>0</v>
      </c>
      <c r="L227" s="12">
        <v>0</v>
      </c>
      <c r="M227" s="13">
        <v>0</v>
      </c>
      <c r="N227" s="13">
        <v>0</v>
      </c>
      <c r="O227" s="13">
        <f t="shared" si="14"/>
        <v>0</v>
      </c>
      <c r="P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3">
      <c r="B228">
        <f t="shared" si="15"/>
        <v>224</v>
      </c>
      <c r="J228" s="12">
        <v>0</v>
      </c>
      <c r="K228" s="12">
        <v>0</v>
      </c>
      <c r="L228" s="12">
        <v>0</v>
      </c>
      <c r="M228" s="13">
        <v>0</v>
      </c>
      <c r="N228" s="13">
        <v>0</v>
      </c>
      <c r="O228" s="13">
        <f t="shared" si="14"/>
        <v>0</v>
      </c>
      <c r="P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3">
      <c r="B229">
        <f t="shared" si="15"/>
        <v>225</v>
      </c>
      <c r="J229" s="12">
        <v>0</v>
      </c>
      <c r="K229" s="12">
        <v>0</v>
      </c>
      <c r="L229" s="12">
        <v>0</v>
      </c>
      <c r="M229" s="13">
        <v>0</v>
      </c>
      <c r="N229" s="13">
        <v>0</v>
      </c>
      <c r="O229" s="13">
        <f t="shared" si="14"/>
        <v>0</v>
      </c>
      <c r="P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3">
      <c r="B230">
        <f t="shared" si="15"/>
        <v>226</v>
      </c>
      <c r="J230" s="12">
        <v>0</v>
      </c>
      <c r="K230" s="12">
        <v>0</v>
      </c>
      <c r="L230" s="12">
        <v>0</v>
      </c>
      <c r="M230" s="13">
        <v>0</v>
      </c>
      <c r="N230" s="13">
        <v>0</v>
      </c>
      <c r="O230" s="13">
        <f t="shared" si="14"/>
        <v>0</v>
      </c>
      <c r="P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3">
      <c r="B231">
        <f t="shared" si="15"/>
        <v>227</v>
      </c>
      <c r="J231" s="12">
        <v>0</v>
      </c>
      <c r="K231" s="12">
        <v>0</v>
      </c>
      <c r="L231" s="12">
        <v>0</v>
      </c>
      <c r="M231" s="13">
        <v>0</v>
      </c>
      <c r="N231" s="13">
        <v>0</v>
      </c>
      <c r="O231" s="13">
        <f t="shared" si="14"/>
        <v>0</v>
      </c>
      <c r="P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3">
      <c r="B232">
        <f t="shared" si="15"/>
        <v>228</v>
      </c>
      <c r="J232" s="12">
        <v>0</v>
      </c>
      <c r="K232" s="12">
        <v>0</v>
      </c>
      <c r="L232" s="12">
        <v>0</v>
      </c>
      <c r="M232" s="13">
        <v>0</v>
      </c>
      <c r="N232" s="13">
        <v>0</v>
      </c>
      <c r="O232" s="13">
        <f t="shared" si="14"/>
        <v>0</v>
      </c>
      <c r="P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3">
      <c r="B233">
        <f t="shared" si="15"/>
        <v>229</v>
      </c>
      <c r="J233" s="12">
        <v>0</v>
      </c>
      <c r="K233" s="12">
        <v>0</v>
      </c>
      <c r="L233" s="12">
        <v>0</v>
      </c>
      <c r="M233" s="13">
        <v>0</v>
      </c>
      <c r="N233" s="13">
        <v>0</v>
      </c>
      <c r="O233" s="13">
        <f t="shared" si="14"/>
        <v>0</v>
      </c>
      <c r="P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3">
      <c r="B234">
        <f t="shared" si="15"/>
        <v>230</v>
      </c>
      <c r="J234" s="12">
        <v>0</v>
      </c>
      <c r="K234" s="12">
        <v>0</v>
      </c>
      <c r="L234" s="12">
        <v>0</v>
      </c>
      <c r="M234" s="13">
        <v>0</v>
      </c>
      <c r="N234" s="13">
        <v>0</v>
      </c>
      <c r="O234" s="13">
        <f t="shared" si="14"/>
        <v>0</v>
      </c>
      <c r="P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3">
      <c r="B235">
        <f t="shared" si="15"/>
        <v>231</v>
      </c>
      <c r="J235" s="12">
        <v>0</v>
      </c>
      <c r="K235" s="12">
        <v>0</v>
      </c>
      <c r="L235" s="12">
        <v>0</v>
      </c>
      <c r="M235" s="13">
        <v>0</v>
      </c>
      <c r="N235" s="13">
        <v>0</v>
      </c>
      <c r="O235" s="13">
        <f t="shared" si="14"/>
        <v>0</v>
      </c>
      <c r="P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3">
      <c r="B236">
        <f t="shared" si="15"/>
        <v>232</v>
      </c>
      <c r="J236" s="12">
        <v>0</v>
      </c>
      <c r="K236" s="12">
        <v>0</v>
      </c>
      <c r="L236" s="12">
        <v>0</v>
      </c>
      <c r="M236" s="13">
        <v>0</v>
      </c>
      <c r="N236" s="13">
        <v>0</v>
      </c>
      <c r="O236" s="13">
        <f t="shared" si="14"/>
        <v>0</v>
      </c>
      <c r="P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3">
      <c r="B237">
        <f t="shared" si="15"/>
        <v>233</v>
      </c>
      <c r="J237" s="12">
        <v>0</v>
      </c>
      <c r="K237" s="12">
        <v>0</v>
      </c>
      <c r="L237" s="12">
        <v>0</v>
      </c>
      <c r="M237" s="13">
        <v>0</v>
      </c>
      <c r="N237" s="13">
        <v>0</v>
      </c>
      <c r="O237" s="13">
        <f t="shared" si="14"/>
        <v>0</v>
      </c>
      <c r="P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3">
      <c r="B238">
        <f t="shared" si="15"/>
        <v>234</v>
      </c>
      <c r="J238" s="12">
        <v>0</v>
      </c>
      <c r="K238" s="12">
        <v>0</v>
      </c>
      <c r="L238" s="12">
        <v>0</v>
      </c>
      <c r="M238" s="13">
        <v>0</v>
      </c>
      <c r="N238" s="13">
        <v>0</v>
      </c>
      <c r="O238" s="13">
        <f t="shared" si="14"/>
        <v>0</v>
      </c>
      <c r="P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3">
      <c r="B239">
        <f t="shared" si="15"/>
        <v>235</v>
      </c>
      <c r="J239" s="12">
        <v>0</v>
      </c>
      <c r="K239" s="12">
        <v>0</v>
      </c>
      <c r="L239" s="12">
        <v>0</v>
      </c>
      <c r="M239" s="13">
        <v>0</v>
      </c>
      <c r="N239" s="13">
        <v>0</v>
      </c>
      <c r="O239" s="13">
        <f t="shared" si="14"/>
        <v>0</v>
      </c>
      <c r="P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3">
      <c r="B240">
        <f t="shared" si="15"/>
        <v>236</v>
      </c>
      <c r="J240" s="12">
        <v>0</v>
      </c>
      <c r="K240" s="12">
        <v>0</v>
      </c>
      <c r="L240" s="12">
        <v>0</v>
      </c>
      <c r="M240" s="13">
        <v>0</v>
      </c>
      <c r="N240" s="13">
        <v>0</v>
      </c>
      <c r="O240" s="13">
        <f t="shared" si="14"/>
        <v>0</v>
      </c>
      <c r="P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3">
      <c r="B241">
        <f t="shared" si="15"/>
        <v>237</v>
      </c>
      <c r="J241" s="12">
        <v>0</v>
      </c>
      <c r="K241" s="12">
        <v>0</v>
      </c>
      <c r="L241" s="12">
        <v>0</v>
      </c>
      <c r="M241" s="13">
        <v>0</v>
      </c>
      <c r="N241" s="13">
        <v>0</v>
      </c>
      <c r="O241" s="13">
        <f t="shared" si="14"/>
        <v>0</v>
      </c>
      <c r="P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3">
      <c r="B242">
        <f t="shared" si="15"/>
        <v>238</v>
      </c>
      <c r="J242" s="12">
        <v>0</v>
      </c>
      <c r="K242" s="12">
        <v>0</v>
      </c>
      <c r="L242" s="12">
        <v>0</v>
      </c>
      <c r="M242" s="13">
        <v>0</v>
      </c>
      <c r="N242" s="13">
        <v>0</v>
      </c>
      <c r="O242" s="13">
        <f t="shared" si="14"/>
        <v>0</v>
      </c>
      <c r="P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3">
      <c r="B243">
        <f t="shared" si="15"/>
        <v>239</v>
      </c>
      <c r="J243" s="12">
        <v>0</v>
      </c>
      <c r="K243" s="12">
        <v>0</v>
      </c>
      <c r="L243" s="12">
        <v>0</v>
      </c>
      <c r="M243" s="13">
        <v>0</v>
      </c>
      <c r="N243" s="13">
        <v>0</v>
      </c>
      <c r="O243" s="13">
        <f t="shared" si="14"/>
        <v>0</v>
      </c>
      <c r="P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3">
      <c r="B244">
        <f t="shared" si="15"/>
        <v>240</v>
      </c>
      <c r="J244" s="12">
        <v>0</v>
      </c>
      <c r="K244" s="12">
        <v>0</v>
      </c>
      <c r="L244" s="12">
        <v>0</v>
      </c>
      <c r="M244" s="13">
        <v>0</v>
      </c>
      <c r="N244" s="13">
        <v>0</v>
      </c>
      <c r="O244" s="13">
        <f t="shared" si="14"/>
        <v>0</v>
      </c>
      <c r="P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3">
      <c r="B245">
        <f t="shared" si="15"/>
        <v>241</v>
      </c>
      <c r="J245" s="12">
        <v>0</v>
      </c>
      <c r="K245" s="12">
        <v>0</v>
      </c>
      <c r="L245" s="12">
        <v>0</v>
      </c>
      <c r="M245" s="13">
        <v>0</v>
      </c>
      <c r="N245" s="13">
        <v>0</v>
      </c>
      <c r="O245" s="13">
        <f t="shared" si="14"/>
        <v>0</v>
      </c>
      <c r="P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3">
      <c r="B246">
        <f t="shared" si="15"/>
        <v>242</v>
      </c>
      <c r="J246" s="12">
        <v>0</v>
      </c>
      <c r="K246" s="12">
        <v>0</v>
      </c>
      <c r="L246" s="12">
        <v>0</v>
      </c>
      <c r="M246" s="13">
        <v>0</v>
      </c>
      <c r="N246" s="13">
        <v>0</v>
      </c>
      <c r="O246" s="13">
        <f t="shared" si="14"/>
        <v>0</v>
      </c>
      <c r="P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3">
      <c r="B247">
        <f t="shared" si="15"/>
        <v>243</v>
      </c>
      <c r="J247" s="12">
        <v>0</v>
      </c>
      <c r="K247" s="12">
        <v>0</v>
      </c>
      <c r="L247" s="12">
        <v>0</v>
      </c>
      <c r="M247" s="13">
        <v>0</v>
      </c>
      <c r="N247" s="13">
        <v>0</v>
      </c>
      <c r="O247" s="13">
        <f t="shared" si="14"/>
        <v>0</v>
      </c>
      <c r="P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3">
      <c r="B248">
        <f t="shared" si="15"/>
        <v>244</v>
      </c>
      <c r="J248" s="12">
        <v>0</v>
      </c>
      <c r="K248" s="12">
        <v>0</v>
      </c>
      <c r="L248" s="12">
        <v>0</v>
      </c>
      <c r="M248" s="13">
        <v>0</v>
      </c>
      <c r="N248" s="13">
        <v>0</v>
      </c>
      <c r="O248" s="13">
        <f t="shared" si="14"/>
        <v>0</v>
      </c>
      <c r="P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3">
      <c r="B249">
        <f t="shared" si="15"/>
        <v>245</v>
      </c>
      <c r="J249" s="12">
        <v>0</v>
      </c>
      <c r="K249" s="12">
        <v>0</v>
      </c>
      <c r="L249" s="12">
        <v>0</v>
      </c>
      <c r="M249" s="13">
        <v>0</v>
      </c>
      <c r="N249" s="13">
        <v>0</v>
      </c>
      <c r="O249" s="13">
        <f t="shared" si="14"/>
        <v>0</v>
      </c>
      <c r="P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3">
      <c r="B250">
        <f t="shared" si="15"/>
        <v>246</v>
      </c>
      <c r="J250" s="12">
        <v>0</v>
      </c>
      <c r="K250" s="12">
        <v>0</v>
      </c>
      <c r="L250" s="12">
        <v>0</v>
      </c>
      <c r="M250" s="13">
        <v>0</v>
      </c>
      <c r="N250" s="13">
        <v>0</v>
      </c>
      <c r="O250" s="13">
        <f t="shared" si="14"/>
        <v>0</v>
      </c>
      <c r="P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3">
      <c r="B251">
        <f t="shared" si="15"/>
        <v>247</v>
      </c>
      <c r="J251" s="12">
        <v>0</v>
      </c>
      <c r="K251" s="12">
        <v>0</v>
      </c>
      <c r="L251" s="12">
        <v>0</v>
      </c>
      <c r="M251" s="13">
        <v>0</v>
      </c>
      <c r="N251" s="13">
        <v>0</v>
      </c>
      <c r="O251" s="13">
        <f t="shared" si="14"/>
        <v>0</v>
      </c>
      <c r="P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3">
      <c r="B252">
        <f t="shared" si="15"/>
        <v>248</v>
      </c>
      <c r="J252" s="12">
        <v>0</v>
      </c>
      <c r="K252" s="12">
        <v>0</v>
      </c>
      <c r="L252" s="12">
        <v>0</v>
      </c>
      <c r="M252" s="13">
        <v>0</v>
      </c>
      <c r="N252" s="13">
        <v>0</v>
      </c>
      <c r="O252" s="13">
        <f t="shared" si="14"/>
        <v>0</v>
      </c>
      <c r="P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3">
      <c r="B253">
        <f t="shared" si="15"/>
        <v>249</v>
      </c>
      <c r="J253" s="12">
        <v>0</v>
      </c>
      <c r="K253" s="12">
        <v>0</v>
      </c>
      <c r="L253" s="12">
        <v>0</v>
      </c>
      <c r="M253" s="13">
        <v>0</v>
      </c>
      <c r="N253" s="13">
        <v>0</v>
      </c>
      <c r="O253" s="13">
        <f t="shared" si="14"/>
        <v>0</v>
      </c>
      <c r="P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3">
      <c r="B254">
        <f t="shared" si="15"/>
        <v>250</v>
      </c>
      <c r="J254" s="12">
        <v>0</v>
      </c>
      <c r="K254" s="12">
        <v>0</v>
      </c>
      <c r="L254" s="12">
        <v>0</v>
      </c>
      <c r="M254" s="13">
        <v>0</v>
      </c>
      <c r="N254" s="13">
        <v>0</v>
      </c>
      <c r="O254" s="13">
        <f t="shared" si="14"/>
        <v>0</v>
      </c>
      <c r="P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3">
      <c r="B255">
        <f t="shared" si="15"/>
        <v>251</v>
      </c>
      <c r="J255" s="12">
        <v>0</v>
      </c>
      <c r="K255" s="12">
        <v>0</v>
      </c>
      <c r="L255" s="12">
        <v>0</v>
      </c>
      <c r="M255" s="13">
        <v>0</v>
      </c>
      <c r="N255" s="13">
        <v>0</v>
      </c>
      <c r="O255" s="13">
        <f t="shared" si="14"/>
        <v>0</v>
      </c>
      <c r="P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3">
      <c r="B256">
        <f t="shared" si="15"/>
        <v>252</v>
      </c>
      <c r="J256" s="12">
        <v>0</v>
      </c>
      <c r="K256" s="12">
        <v>0</v>
      </c>
      <c r="L256" s="12">
        <v>0</v>
      </c>
      <c r="M256" s="13">
        <v>0</v>
      </c>
      <c r="N256" s="13">
        <v>0</v>
      </c>
      <c r="O256" s="13">
        <f t="shared" si="14"/>
        <v>0</v>
      </c>
      <c r="P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3">
      <c r="B257">
        <f t="shared" si="15"/>
        <v>253</v>
      </c>
      <c r="J257" s="12">
        <v>0</v>
      </c>
      <c r="K257" s="12">
        <v>0</v>
      </c>
      <c r="L257" s="12">
        <v>0</v>
      </c>
      <c r="M257" s="13">
        <v>0</v>
      </c>
      <c r="N257" s="13">
        <v>0</v>
      </c>
      <c r="O257" s="13">
        <f t="shared" si="14"/>
        <v>0</v>
      </c>
      <c r="P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3">
      <c r="B258">
        <f t="shared" si="15"/>
        <v>254</v>
      </c>
      <c r="J258" s="12">
        <v>0</v>
      </c>
      <c r="K258" s="12">
        <v>0</v>
      </c>
      <c r="L258" s="12">
        <v>0</v>
      </c>
      <c r="M258" s="13">
        <v>0</v>
      </c>
      <c r="N258" s="13">
        <v>0</v>
      </c>
      <c r="O258" s="13">
        <f t="shared" si="14"/>
        <v>0</v>
      </c>
      <c r="P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3">
      <c r="B259">
        <f t="shared" si="15"/>
        <v>255</v>
      </c>
      <c r="J259" s="12">
        <v>0</v>
      </c>
      <c r="K259" s="12">
        <v>0</v>
      </c>
      <c r="L259" s="12">
        <v>0</v>
      </c>
      <c r="M259" s="13">
        <v>0</v>
      </c>
      <c r="N259" s="13">
        <v>0</v>
      </c>
      <c r="O259" s="13">
        <f t="shared" si="14"/>
        <v>0</v>
      </c>
      <c r="P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3">
      <c r="B260">
        <f t="shared" si="15"/>
        <v>256</v>
      </c>
      <c r="J260" s="12">
        <v>0</v>
      </c>
      <c r="K260" s="12">
        <v>0</v>
      </c>
      <c r="L260" s="12">
        <v>0</v>
      </c>
      <c r="M260" s="13">
        <v>0</v>
      </c>
      <c r="N260" s="13">
        <v>0</v>
      </c>
      <c r="O260" s="13">
        <f t="shared" si="14"/>
        <v>0</v>
      </c>
      <c r="P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3">
      <c r="B261">
        <f t="shared" si="15"/>
        <v>257</v>
      </c>
      <c r="J261" s="12">
        <v>0</v>
      </c>
      <c r="K261" s="12">
        <v>0</v>
      </c>
      <c r="L261" s="12">
        <v>0</v>
      </c>
      <c r="M261" s="13">
        <v>0</v>
      </c>
      <c r="N261" s="13">
        <v>0</v>
      </c>
      <c r="O261" s="13">
        <f t="shared" ref="O261:O324" si="16">+M261-N261</f>
        <v>0</v>
      </c>
      <c r="P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3">
      <c r="B262">
        <f t="shared" si="15"/>
        <v>258</v>
      </c>
      <c r="J262" s="12">
        <v>0</v>
      </c>
      <c r="K262" s="12">
        <v>0</v>
      </c>
      <c r="L262" s="12">
        <v>0</v>
      </c>
      <c r="M262" s="13">
        <v>0</v>
      </c>
      <c r="N262" s="13">
        <v>0</v>
      </c>
      <c r="O262" s="13">
        <f t="shared" si="16"/>
        <v>0</v>
      </c>
      <c r="P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3">
      <c r="B263">
        <f t="shared" ref="B263:B326" si="17">+B262+1</f>
        <v>259</v>
      </c>
      <c r="J263" s="12">
        <v>0</v>
      </c>
      <c r="K263" s="12">
        <v>0</v>
      </c>
      <c r="L263" s="12">
        <v>0</v>
      </c>
      <c r="M263" s="13">
        <v>0</v>
      </c>
      <c r="N263" s="13">
        <v>0</v>
      </c>
      <c r="O263" s="13">
        <f t="shared" si="16"/>
        <v>0</v>
      </c>
      <c r="P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3">
      <c r="B264">
        <f t="shared" si="17"/>
        <v>260</v>
      </c>
      <c r="M264" s="13"/>
      <c r="N264" s="13"/>
      <c r="O264" s="13">
        <f t="shared" si="16"/>
        <v>0</v>
      </c>
      <c r="P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3">
      <c r="B265">
        <f t="shared" si="17"/>
        <v>261</v>
      </c>
      <c r="M265" s="13"/>
      <c r="N265" s="13"/>
      <c r="O265" s="13">
        <f t="shared" si="16"/>
        <v>0</v>
      </c>
      <c r="P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3">
      <c r="B266">
        <f t="shared" si="17"/>
        <v>262</v>
      </c>
      <c r="M266" s="13"/>
      <c r="N266" s="13"/>
      <c r="O266" s="13">
        <f t="shared" si="16"/>
        <v>0</v>
      </c>
      <c r="P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3">
      <c r="B267">
        <f t="shared" si="17"/>
        <v>263</v>
      </c>
      <c r="M267" s="13"/>
      <c r="N267" s="13"/>
      <c r="O267" s="13">
        <f t="shared" si="16"/>
        <v>0</v>
      </c>
      <c r="P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3">
      <c r="B268">
        <f t="shared" si="17"/>
        <v>264</v>
      </c>
      <c r="M268" s="13"/>
      <c r="N268" s="13"/>
      <c r="O268" s="13">
        <f t="shared" si="16"/>
        <v>0</v>
      </c>
      <c r="P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3">
      <c r="B269">
        <f t="shared" si="17"/>
        <v>265</v>
      </c>
      <c r="M269" s="13"/>
      <c r="N269" s="13"/>
      <c r="O269" s="13">
        <f t="shared" si="16"/>
        <v>0</v>
      </c>
      <c r="P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3">
      <c r="B270">
        <f t="shared" si="17"/>
        <v>266</v>
      </c>
      <c r="M270" s="13"/>
      <c r="N270" s="13"/>
      <c r="O270" s="13">
        <f t="shared" si="16"/>
        <v>0</v>
      </c>
      <c r="P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3">
      <c r="B271">
        <f t="shared" si="17"/>
        <v>267</v>
      </c>
      <c r="M271" s="13"/>
      <c r="N271" s="13"/>
      <c r="O271" s="13">
        <f t="shared" si="16"/>
        <v>0</v>
      </c>
      <c r="P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3">
      <c r="B272">
        <f t="shared" si="17"/>
        <v>268</v>
      </c>
      <c r="M272" s="13"/>
      <c r="N272" s="13"/>
      <c r="O272" s="13">
        <f t="shared" si="16"/>
        <v>0</v>
      </c>
      <c r="P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3">
      <c r="B273">
        <f t="shared" si="17"/>
        <v>269</v>
      </c>
      <c r="M273" s="13"/>
      <c r="N273" s="13"/>
      <c r="O273" s="13">
        <f t="shared" si="16"/>
        <v>0</v>
      </c>
      <c r="P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3">
      <c r="B274">
        <f t="shared" si="17"/>
        <v>270</v>
      </c>
      <c r="M274" s="13"/>
      <c r="N274" s="13"/>
      <c r="O274" s="13">
        <f t="shared" si="16"/>
        <v>0</v>
      </c>
      <c r="P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3">
      <c r="B275">
        <f t="shared" si="17"/>
        <v>271</v>
      </c>
      <c r="M275" s="13"/>
      <c r="N275" s="13"/>
      <c r="O275" s="13">
        <f t="shared" si="16"/>
        <v>0</v>
      </c>
      <c r="P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3">
      <c r="B276">
        <f t="shared" si="17"/>
        <v>272</v>
      </c>
      <c r="M276" s="13"/>
      <c r="N276" s="13"/>
      <c r="O276" s="13">
        <f t="shared" si="16"/>
        <v>0</v>
      </c>
      <c r="P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3">
      <c r="B277">
        <f t="shared" si="17"/>
        <v>273</v>
      </c>
      <c r="M277" s="13"/>
      <c r="N277" s="13"/>
      <c r="O277" s="13">
        <f t="shared" si="16"/>
        <v>0</v>
      </c>
      <c r="P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3">
      <c r="B278">
        <f t="shared" si="17"/>
        <v>274</v>
      </c>
      <c r="M278" s="13"/>
      <c r="N278" s="13"/>
      <c r="O278" s="13">
        <f t="shared" si="16"/>
        <v>0</v>
      </c>
      <c r="P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3">
      <c r="B279">
        <f t="shared" si="17"/>
        <v>275</v>
      </c>
      <c r="M279" s="13"/>
      <c r="N279" s="13"/>
      <c r="O279" s="13">
        <f t="shared" si="16"/>
        <v>0</v>
      </c>
      <c r="P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3">
      <c r="B280">
        <f t="shared" si="17"/>
        <v>276</v>
      </c>
      <c r="M280" s="13"/>
      <c r="N280" s="13"/>
      <c r="O280" s="13">
        <f t="shared" si="16"/>
        <v>0</v>
      </c>
      <c r="P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3">
      <c r="B281">
        <f t="shared" si="17"/>
        <v>277</v>
      </c>
      <c r="M281" s="13"/>
      <c r="N281" s="13"/>
      <c r="O281" s="13">
        <f t="shared" si="16"/>
        <v>0</v>
      </c>
      <c r="P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3">
      <c r="B282">
        <f t="shared" si="17"/>
        <v>278</v>
      </c>
      <c r="M282" s="13"/>
      <c r="N282" s="13"/>
      <c r="O282" s="13">
        <f t="shared" si="16"/>
        <v>0</v>
      </c>
      <c r="P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3">
      <c r="B283">
        <f t="shared" si="17"/>
        <v>279</v>
      </c>
      <c r="M283" s="13"/>
      <c r="N283" s="13"/>
      <c r="O283" s="13">
        <f t="shared" si="16"/>
        <v>0</v>
      </c>
      <c r="P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3">
      <c r="B284">
        <f t="shared" si="17"/>
        <v>280</v>
      </c>
      <c r="M284" s="13"/>
      <c r="N284" s="13"/>
      <c r="O284" s="13">
        <f t="shared" si="16"/>
        <v>0</v>
      </c>
      <c r="P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3">
      <c r="B285">
        <f t="shared" si="17"/>
        <v>281</v>
      </c>
      <c r="M285" s="13"/>
      <c r="N285" s="13"/>
      <c r="O285" s="13">
        <f t="shared" si="16"/>
        <v>0</v>
      </c>
      <c r="P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3">
      <c r="B286">
        <f t="shared" si="17"/>
        <v>282</v>
      </c>
      <c r="M286" s="13"/>
      <c r="N286" s="13"/>
      <c r="O286" s="13">
        <f t="shared" si="16"/>
        <v>0</v>
      </c>
      <c r="P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3">
      <c r="B287">
        <f t="shared" si="17"/>
        <v>283</v>
      </c>
      <c r="M287" s="13"/>
      <c r="N287" s="13"/>
      <c r="O287" s="13">
        <f t="shared" si="16"/>
        <v>0</v>
      </c>
      <c r="P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3">
      <c r="B288">
        <f t="shared" si="17"/>
        <v>284</v>
      </c>
      <c r="M288" s="13"/>
      <c r="N288" s="13"/>
      <c r="O288" s="13">
        <f t="shared" si="16"/>
        <v>0</v>
      </c>
      <c r="P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3">
      <c r="B289">
        <f t="shared" si="17"/>
        <v>285</v>
      </c>
      <c r="M289" s="13"/>
      <c r="N289" s="13"/>
      <c r="O289" s="13">
        <f t="shared" si="16"/>
        <v>0</v>
      </c>
      <c r="P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3">
      <c r="B290">
        <f t="shared" si="17"/>
        <v>286</v>
      </c>
      <c r="M290" s="13"/>
      <c r="N290" s="13"/>
      <c r="O290" s="13">
        <f t="shared" si="16"/>
        <v>0</v>
      </c>
      <c r="P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3">
      <c r="B291">
        <f t="shared" si="17"/>
        <v>287</v>
      </c>
      <c r="M291" s="13"/>
      <c r="N291" s="13"/>
      <c r="O291" s="13">
        <f t="shared" si="16"/>
        <v>0</v>
      </c>
      <c r="P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3">
      <c r="B292">
        <f t="shared" si="17"/>
        <v>288</v>
      </c>
      <c r="M292" s="13"/>
      <c r="N292" s="13"/>
      <c r="O292" s="13">
        <f t="shared" si="16"/>
        <v>0</v>
      </c>
      <c r="P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3">
      <c r="B293">
        <f t="shared" si="17"/>
        <v>289</v>
      </c>
      <c r="M293" s="13"/>
      <c r="N293" s="13"/>
      <c r="O293" s="13">
        <f t="shared" si="16"/>
        <v>0</v>
      </c>
      <c r="P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3">
      <c r="B294">
        <f t="shared" si="17"/>
        <v>290</v>
      </c>
      <c r="M294" s="13"/>
      <c r="N294" s="13"/>
      <c r="O294" s="13">
        <f t="shared" si="16"/>
        <v>0</v>
      </c>
      <c r="P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3">
      <c r="B295">
        <f t="shared" si="17"/>
        <v>291</v>
      </c>
      <c r="M295" s="13"/>
      <c r="N295" s="13"/>
      <c r="O295" s="13">
        <f t="shared" si="16"/>
        <v>0</v>
      </c>
      <c r="P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3">
      <c r="B296">
        <f t="shared" si="17"/>
        <v>292</v>
      </c>
      <c r="M296" s="13"/>
      <c r="N296" s="13"/>
      <c r="O296" s="13">
        <f t="shared" si="16"/>
        <v>0</v>
      </c>
      <c r="P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3">
      <c r="B297">
        <f t="shared" si="17"/>
        <v>293</v>
      </c>
      <c r="M297" s="13"/>
      <c r="N297" s="13"/>
      <c r="O297" s="13">
        <f t="shared" si="16"/>
        <v>0</v>
      </c>
      <c r="P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3">
      <c r="B298">
        <f t="shared" si="17"/>
        <v>294</v>
      </c>
      <c r="M298" s="13"/>
      <c r="N298" s="13"/>
      <c r="O298" s="13">
        <f t="shared" si="16"/>
        <v>0</v>
      </c>
      <c r="P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3">
      <c r="B299">
        <f t="shared" si="17"/>
        <v>295</v>
      </c>
      <c r="M299" s="13"/>
      <c r="N299" s="13"/>
      <c r="O299" s="13">
        <f t="shared" si="16"/>
        <v>0</v>
      </c>
      <c r="P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3">
      <c r="B300">
        <f t="shared" si="17"/>
        <v>296</v>
      </c>
      <c r="M300" s="13"/>
      <c r="N300" s="13"/>
      <c r="O300" s="13">
        <f t="shared" si="16"/>
        <v>0</v>
      </c>
      <c r="P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3">
      <c r="B301">
        <f t="shared" si="17"/>
        <v>297</v>
      </c>
      <c r="M301" s="13"/>
      <c r="N301" s="13"/>
      <c r="O301" s="13">
        <f t="shared" si="16"/>
        <v>0</v>
      </c>
      <c r="P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3">
      <c r="B302">
        <f t="shared" si="17"/>
        <v>298</v>
      </c>
      <c r="M302" s="13"/>
      <c r="N302" s="13"/>
      <c r="O302" s="13">
        <f t="shared" si="16"/>
        <v>0</v>
      </c>
      <c r="P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3">
      <c r="B303">
        <f t="shared" si="17"/>
        <v>299</v>
      </c>
      <c r="M303" s="13"/>
      <c r="N303" s="13"/>
      <c r="O303" s="13">
        <f t="shared" si="16"/>
        <v>0</v>
      </c>
      <c r="P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3">
      <c r="B304">
        <f t="shared" si="17"/>
        <v>300</v>
      </c>
      <c r="M304" s="13"/>
      <c r="N304" s="13"/>
      <c r="O304" s="13">
        <f t="shared" si="16"/>
        <v>0</v>
      </c>
      <c r="P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3">
      <c r="B305">
        <f t="shared" si="17"/>
        <v>301</v>
      </c>
      <c r="M305" s="13"/>
      <c r="N305" s="13"/>
      <c r="O305" s="13">
        <f t="shared" si="16"/>
        <v>0</v>
      </c>
      <c r="P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3">
      <c r="B306">
        <f t="shared" si="17"/>
        <v>302</v>
      </c>
      <c r="M306" s="13"/>
      <c r="N306" s="13"/>
      <c r="O306" s="13">
        <f t="shared" si="16"/>
        <v>0</v>
      </c>
      <c r="P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3">
      <c r="B307">
        <f t="shared" si="17"/>
        <v>303</v>
      </c>
      <c r="M307" s="13"/>
      <c r="N307" s="13"/>
      <c r="O307" s="13">
        <f t="shared" si="16"/>
        <v>0</v>
      </c>
      <c r="P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3">
      <c r="B308">
        <f t="shared" si="17"/>
        <v>304</v>
      </c>
      <c r="M308" s="13"/>
      <c r="N308" s="13"/>
      <c r="O308" s="13">
        <f t="shared" si="16"/>
        <v>0</v>
      </c>
      <c r="P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3">
      <c r="B309">
        <f t="shared" si="17"/>
        <v>305</v>
      </c>
      <c r="M309" s="13"/>
      <c r="N309" s="13"/>
      <c r="O309" s="13">
        <f t="shared" si="16"/>
        <v>0</v>
      </c>
      <c r="P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3">
      <c r="B310">
        <f t="shared" si="17"/>
        <v>306</v>
      </c>
      <c r="M310" s="13"/>
      <c r="N310" s="13"/>
      <c r="O310" s="13">
        <f t="shared" si="16"/>
        <v>0</v>
      </c>
      <c r="P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3">
      <c r="B311">
        <f t="shared" si="17"/>
        <v>307</v>
      </c>
      <c r="M311" s="13"/>
      <c r="N311" s="13"/>
      <c r="O311" s="13">
        <f t="shared" si="16"/>
        <v>0</v>
      </c>
      <c r="P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3">
      <c r="B312">
        <f t="shared" si="17"/>
        <v>308</v>
      </c>
      <c r="M312" s="13"/>
      <c r="N312" s="13"/>
      <c r="O312" s="13">
        <f t="shared" si="16"/>
        <v>0</v>
      </c>
      <c r="P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3">
      <c r="B313">
        <f t="shared" si="17"/>
        <v>309</v>
      </c>
      <c r="M313" s="13"/>
      <c r="N313" s="13"/>
      <c r="O313" s="13">
        <f t="shared" si="16"/>
        <v>0</v>
      </c>
      <c r="P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3">
      <c r="B314">
        <f t="shared" si="17"/>
        <v>310</v>
      </c>
      <c r="M314" s="13"/>
      <c r="N314" s="13"/>
      <c r="O314" s="13">
        <f t="shared" si="16"/>
        <v>0</v>
      </c>
      <c r="P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3">
      <c r="B315">
        <f t="shared" si="17"/>
        <v>311</v>
      </c>
      <c r="M315" s="13"/>
      <c r="N315" s="13"/>
      <c r="O315" s="13">
        <f t="shared" si="16"/>
        <v>0</v>
      </c>
      <c r="P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3">
      <c r="B316">
        <f t="shared" si="17"/>
        <v>312</v>
      </c>
      <c r="M316" s="13"/>
      <c r="N316" s="13"/>
      <c r="O316" s="13">
        <f t="shared" si="16"/>
        <v>0</v>
      </c>
      <c r="P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3">
      <c r="B317">
        <f t="shared" si="17"/>
        <v>313</v>
      </c>
      <c r="M317" s="13"/>
      <c r="N317" s="13"/>
      <c r="O317" s="13">
        <f t="shared" si="16"/>
        <v>0</v>
      </c>
      <c r="P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3">
      <c r="B318">
        <f t="shared" si="17"/>
        <v>314</v>
      </c>
      <c r="M318" s="13"/>
      <c r="N318" s="13"/>
      <c r="O318" s="13">
        <f t="shared" si="16"/>
        <v>0</v>
      </c>
      <c r="P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3">
      <c r="B319">
        <f t="shared" si="17"/>
        <v>315</v>
      </c>
      <c r="M319" s="13"/>
      <c r="N319" s="13"/>
      <c r="O319" s="13">
        <f t="shared" si="16"/>
        <v>0</v>
      </c>
      <c r="P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3">
      <c r="B320">
        <f t="shared" si="17"/>
        <v>316</v>
      </c>
      <c r="M320" s="13"/>
      <c r="N320" s="13"/>
      <c r="O320" s="13">
        <f t="shared" si="16"/>
        <v>0</v>
      </c>
      <c r="P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3">
      <c r="B321">
        <f t="shared" si="17"/>
        <v>317</v>
      </c>
      <c r="M321" s="13"/>
      <c r="N321" s="13"/>
      <c r="O321" s="13">
        <f t="shared" si="16"/>
        <v>0</v>
      </c>
      <c r="P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3">
      <c r="B322">
        <f t="shared" si="17"/>
        <v>318</v>
      </c>
      <c r="M322" s="13"/>
      <c r="N322" s="13"/>
      <c r="O322" s="13">
        <f t="shared" si="16"/>
        <v>0</v>
      </c>
      <c r="P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3">
      <c r="B323">
        <f t="shared" si="17"/>
        <v>319</v>
      </c>
      <c r="M323" s="13"/>
      <c r="N323" s="13"/>
      <c r="O323" s="13">
        <f t="shared" si="16"/>
        <v>0</v>
      </c>
      <c r="P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3">
      <c r="B324">
        <f t="shared" si="17"/>
        <v>320</v>
      </c>
      <c r="M324" s="13"/>
      <c r="N324" s="13"/>
      <c r="O324" s="13">
        <f t="shared" si="16"/>
        <v>0</v>
      </c>
      <c r="P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3">
      <c r="B325">
        <f t="shared" si="17"/>
        <v>321</v>
      </c>
      <c r="M325" s="13"/>
      <c r="N325" s="13"/>
      <c r="O325" s="13">
        <f t="shared" ref="O325:O388" si="18">+M325-N325</f>
        <v>0</v>
      </c>
      <c r="P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3">
      <c r="B326">
        <f t="shared" si="17"/>
        <v>322</v>
      </c>
      <c r="M326" s="13"/>
      <c r="N326" s="13"/>
      <c r="O326" s="13">
        <f t="shared" si="18"/>
        <v>0</v>
      </c>
      <c r="P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3">
      <c r="B327">
        <f t="shared" ref="B327:B345" si="19">+B326+1</f>
        <v>323</v>
      </c>
      <c r="M327" s="13"/>
      <c r="N327" s="13"/>
      <c r="O327" s="13">
        <f t="shared" si="18"/>
        <v>0</v>
      </c>
      <c r="P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3">
      <c r="B328">
        <f t="shared" si="19"/>
        <v>324</v>
      </c>
      <c r="M328" s="13"/>
      <c r="N328" s="13"/>
      <c r="O328" s="13">
        <f t="shared" si="18"/>
        <v>0</v>
      </c>
      <c r="P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3">
      <c r="B329">
        <f t="shared" si="19"/>
        <v>325</v>
      </c>
      <c r="M329" s="13"/>
      <c r="N329" s="13"/>
      <c r="O329" s="13">
        <f t="shared" si="18"/>
        <v>0</v>
      </c>
      <c r="P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3">
      <c r="B330">
        <f t="shared" si="19"/>
        <v>326</v>
      </c>
      <c r="M330" s="13"/>
      <c r="N330" s="13"/>
      <c r="O330" s="13">
        <f t="shared" si="18"/>
        <v>0</v>
      </c>
      <c r="P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3">
      <c r="B331">
        <f t="shared" si="19"/>
        <v>327</v>
      </c>
      <c r="M331" s="13"/>
      <c r="N331" s="13"/>
      <c r="O331" s="13">
        <f t="shared" si="18"/>
        <v>0</v>
      </c>
      <c r="P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3">
      <c r="B332">
        <f t="shared" si="19"/>
        <v>328</v>
      </c>
      <c r="M332" s="13"/>
      <c r="N332" s="13"/>
      <c r="O332" s="13">
        <f t="shared" si="18"/>
        <v>0</v>
      </c>
      <c r="P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3">
      <c r="B333">
        <f t="shared" si="19"/>
        <v>329</v>
      </c>
      <c r="M333" s="13"/>
      <c r="N333" s="13"/>
      <c r="O333" s="13">
        <f t="shared" si="18"/>
        <v>0</v>
      </c>
      <c r="P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3">
      <c r="B334">
        <f t="shared" si="19"/>
        <v>330</v>
      </c>
      <c r="M334" s="13"/>
      <c r="N334" s="13"/>
      <c r="O334" s="13">
        <f t="shared" si="18"/>
        <v>0</v>
      </c>
      <c r="P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3">
      <c r="B335">
        <f t="shared" si="19"/>
        <v>331</v>
      </c>
      <c r="M335" s="13"/>
      <c r="N335" s="13"/>
      <c r="O335" s="13">
        <f t="shared" si="18"/>
        <v>0</v>
      </c>
      <c r="P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3">
      <c r="B336">
        <f t="shared" si="19"/>
        <v>332</v>
      </c>
      <c r="M336" s="13"/>
      <c r="N336" s="13"/>
      <c r="O336" s="13">
        <f t="shared" si="18"/>
        <v>0</v>
      </c>
      <c r="P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3">
      <c r="B337">
        <f t="shared" si="19"/>
        <v>333</v>
      </c>
      <c r="M337" s="13"/>
      <c r="N337" s="13"/>
      <c r="O337" s="13">
        <f t="shared" si="18"/>
        <v>0</v>
      </c>
      <c r="P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3">
      <c r="B338">
        <f t="shared" si="19"/>
        <v>334</v>
      </c>
      <c r="M338" s="13"/>
      <c r="N338" s="13"/>
      <c r="O338" s="13">
        <f t="shared" si="18"/>
        <v>0</v>
      </c>
      <c r="P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3">
      <c r="B339">
        <f t="shared" si="19"/>
        <v>335</v>
      </c>
      <c r="M339" s="13"/>
      <c r="N339" s="13"/>
      <c r="O339" s="13">
        <f t="shared" si="18"/>
        <v>0</v>
      </c>
      <c r="P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3">
      <c r="B340">
        <f t="shared" si="19"/>
        <v>336</v>
      </c>
      <c r="M340" s="13"/>
      <c r="N340" s="13"/>
      <c r="O340" s="13">
        <f t="shared" si="18"/>
        <v>0</v>
      </c>
      <c r="P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3">
      <c r="B341">
        <f t="shared" si="19"/>
        <v>337</v>
      </c>
      <c r="M341" s="13"/>
      <c r="N341" s="13"/>
      <c r="O341" s="13">
        <f t="shared" si="18"/>
        <v>0</v>
      </c>
      <c r="P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3">
      <c r="B342">
        <f t="shared" si="19"/>
        <v>338</v>
      </c>
      <c r="M342" s="13"/>
      <c r="N342" s="13"/>
      <c r="O342" s="13">
        <f t="shared" si="18"/>
        <v>0</v>
      </c>
      <c r="P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3">
      <c r="B343">
        <f t="shared" si="19"/>
        <v>339</v>
      </c>
      <c r="M343" s="13"/>
      <c r="N343" s="13"/>
      <c r="O343" s="13">
        <f t="shared" si="18"/>
        <v>0</v>
      </c>
      <c r="P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3">
      <c r="B344">
        <f t="shared" si="19"/>
        <v>340</v>
      </c>
      <c r="M344" s="13"/>
      <c r="N344" s="13"/>
      <c r="O344" s="13">
        <f t="shared" si="18"/>
        <v>0</v>
      </c>
      <c r="P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3">
      <c r="B345">
        <f t="shared" si="19"/>
        <v>341</v>
      </c>
      <c r="M345" s="13"/>
      <c r="N345" s="13"/>
      <c r="O345" s="13">
        <f t="shared" si="18"/>
        <v>0</v>
      </c>
      <c r="P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3">
      <c r="B346">
        <f>+B345+1</f>
        <v>342</v>
      </c>
      <c r="M346" s="13"/>
      <c r="N346" s="13"/>
      <c r="O346" s="13">
        <f t="shared" si="18"/>
        <v>0</v>
      </c>
      <c r="P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3">
      <c r="B347">
        <f t="shared" ref="B347:B410" si="20">+B346+1</f>
        <v>343</v>
      </c>
      <c r="M347" s="13"/>
      <c r="N347" s="13"/>
      <c r="O347" s="13">
        <f t="shared" si="18"/>
        <v>0</v>
      </c>
      <c r="P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3">
      <c r="B348">
        <f t="shared" si="20"/>
        <v>344</v>
      </c>
      <c r="M348" s="13"/>
      <c r="N348" s="13"/>
      <c r="O348" s="13">
        <f t="shared" si="18"/>
        <v>0</v>
      </c>
      <c r="P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3">
      <c r="B349">
        <f t="shared" si="20"/>
        <v>345</v>
      </c>
      <c r="M349" s="13"/>
      <c r="N349" s="13"/>
      <c r="O349" s="13">
        <f t="shared" si="18"/>
        <v>0</v>
      </c>
      <c r="P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3">
      <c r="B350">
        <f t="shared" si="20"/>
        <v>346</v>
      </c>
      <c r="M350" s="13"/>
      <c r="N350" s="13"/>
      <c r="O350" s="13">
        <f t="shared" si="18"/>
        <v>0</v>
      </c>
      <c r="P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3">
      <c r="B351">
        <f t="shared" si="20"/>
        <v>347</v>
      </c>
      <c r="M351" s="13"/>
      <c r="N351" s="13"/>
      <c r="O351" s="13">
        <f t="shared" si="18"/>
        <v>0</v>
      </c>
      <c r="P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3">
      <c r="B352">
        <f t="shared" si="20"/>
        <v>348</v>
      </c>
      <c r="M352" s="13"/>
      <c r="N352" s="13"/>
      <c r="O352" s="13">
        <f t="shared" si="18"/>
        <v>0</v>
      </c>
      <c r="P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3">
      <c r="B353">
        <f t="shared" si="20"/>
        <v>349</v>
      </c>
      <c r="M353" s="13"/>
      <c r="N353" s="13"/>
      <c r="O353" s="13">
        <f t="shared" si="18"/>
        <v>0</v>
      </c>
      <c r="P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3">
      <c r="B354">
        <f t="shared" si="20"/>
        <v>350</v>
      </c>
      <c r="M354" s="13"/>
      <c r="N354" s="13"/>
      <c r="O354" s="13">
        <f t="shared" si="18"/>
        <v>0</v>
      </c>
      <c r="P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3">
      <c r="B355">
        <f t="shared" si="20"/>
        <v>351</v>
      </c>
      <c r="M355" s="13"/>
      <c r="N355" s="13"/>
      <c r="O355" s="13">
        <f t="shared" si="18"/>
        <v>0</v>
      </c>
      <c r="P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3">
      <c r="B356">
        <f t="shared" si="20"/>
        <v>352</v>
      </c>
      <c r="M356" s="13"/>
      <c r="N356" s="13"/>
      <c r="O356" s="13">
        <f t="shared" si="18"/>
        <v>0</v>
      </c>
      <c r="P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3">
      <c r="B357">
        <f t="shared" si="20"/>
        <v>353</v>
      </c>
      <c r="M357" s="13"/>
      <c r="N357" s="13"/>
      <c r="O357" s="13">
        <f t="shared" si="18"/>
        <v>0</v>
      </c>
      <c r="P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3">
      <c r="B358">
        <f t="shared" si="20"/>
        <v>354</v>
      </c>
      <c r="M358" s="13"/>
      <c r="N358" s="13"/>
      <c r="O358" s="13">
        <f t="shared" si="18"/>
        <v>0</v>
      </c>
      <c r="P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3">
      <c r="B359">
        <f t="shared" si="20"/>
        <v>355</v>
      </c>
      <c r="M359" s="13"/>
      <c r="N359" s="13"/>
      <c r="O359" s="13">
        <f t="shared" si="18"/>
        <v>0</v>
      </c>
      <c r="P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3">
      <c r="B360">
        <f t="shared" si="20"/>
        <v>356</v>
      </c>
      <c r="M360" s="13"/>
      <c r="N360" s="13"/>
      <c r="O360" s="13">
        <f t="shared" si="18"/>
        <v>0</v>
      </c>
      <c r="P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3">
      <c r="B361">
        <f t="shared" si="20"/>
        <v>357</v>
      </c>
      <c r="M361" s="13"/>
      <c r="N361" s="13"/>
      <c r="O361" s="13">
        <f t="shared" si="18"/>
        <v>0</v>
      </c>
      <c r="P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3">
      <c r="B362">
        <f t="shared" si="20"/>
        <v>358</v>
      </c>
      <c r="M362" s="13"/>
      <c r="N362" s="13"/>
      <c r="O362" s="13">
        <f t="shared" si="18"/>
        <v>0</v>
      </c>
      <c r="P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3">
      <c r="B363">
        <f t="shared" si="20"/>
        <v>359</v>
      </c>
      <c r="M363" s="13"/>
      <c r="N363" s="13"/>
      <c r="O363" s="13">
        <f t="shared" si="18"/>
        <v>0</v>
      </c>
      <c r="P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3">
      <c r="B364">
        <f t="shared" si="20"/>
        <v>360</v>
      </c>
      <c r="M364" s="13"/>
      <c r="N364" s="13"/>
      <c r="O364" s="13">
        <f t="shared" si="18"/>
        <v>0</v>
      </c>
      <c r="P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3">
      <c r="B365">
        <f t="shared" si="20"/>
        <v>361</v>
      </c>
      <c r="M365" s="13"/>
      <c r="N365" s="13"/>
      <c r="O365" s="13">
        <f t="shared" si="18"/>
        <v>0</v>
      </c>
      <c r="P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3">
      <c r="B366">
        <f t="shared" si="20"/>
        <v>362</v>
      </c>
      <c r="M366" s="13"/>
      <c r="N366" s="13"/>
      <c r="O366" s="13">
        <f t="shared" si="18"/>
        <v>0</v>
      </c>
      <c r="P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3">
      <c r="B367">
        <f t="shared" si="20"/>
        <v>363</v>
      </c>
      <c r="M367" s="13"/>
      <c r="N367" s="13"/>
      <c r="O367" s="13">
        <f t="shared" si="18"/>
        <v>0</v>
      </c>
      <c r="P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3">
      <c r="B368">
        <f t="shared" si="20"/>
        <v>364</v>
      </c>
      <c r="M368" s="13"/>
      <c r="N368" s="13"/>
      <c r="O368" s="13">
        <f t="shared" si="18"/>
        <v>0</v>
      </c>
      <c r="P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3">
      <c r="B369">
        <f t="shared" si="20"/>
        <v>365</v>
      </c>
      <c r="M369" s="13"/>
      <c r="N369" s="13"/>
      <c r="O369" s="13">
        <f t="shared" si="18"/>
        <v>0</v>
      </c>
      <c r="P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3">
      <c r="B370">
        <f t="shared" si="20"/>
        <v>366</v>
      </c>
      <c r="M370" s="13"/>
      <c r="N370" s="13"/>
      <c r="O370" s="13">
        <f t="shared" si="18"/>
        <v>0</v>
      </c>
      <c r="P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3">
      <c r="B371">
        <f t="shared" si="20"/>
        <v>367</v>
      </c>
      <c r="M371" s="13"/>
      <c r="N371" s="13"/>
      <c r="O371" s="13">
        <f t="shared" si="18"/>
        <v>0</v>
      </c>
      <c r="P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3">
      <c r="B372">
        <f t="shared" si="20"/>
        <v>368</v>
      </c>
      <c r="M372" s="13"/>
      <c r="N372" s="13"/>
      <c r="O372" s="13">
        <f t="shared" si="18"/>
        <v>0</v>
      </c>
      <c r="P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3">
      <c r="B373">
        <f t="shared" si="20"/>
        <v>369</v>
      </c>
      <c r="M373" s="13"/>
      <c r="N373" s="13"/>
      <c r="O373" s="13">
        <f t="shared" si="18"/>
        <v>0</v>
      </c>
      <c r="P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3">
      <c r="B374">
        <f t="shared" si="20"/>
        <v>370</v>
      </c>
      <c r="M374" s="13"/>
      <c r="N374" s="13"/>
      <c r="O374" s="13">
        <f t="shared" si="18"/>
        <v>0</v>
      </c>
      <c r="P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3">
      <c r="B375">
        <f t="shared" si="20"/>
        <v>371</v>
      </c>
      <c r="M375" s="13"/>
      <c r="N375" s="13"/>
      <c r="O375" s="13">
        <f t="shared" si="18"/>
        <v>0</v>
      </c>
      <c r="P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3">
      <c r="B376">
        <f t="shared" si="20"/>
        <v>372</v>
      </c>
      <c r="M376" s="13"/>
      <c r="N376" s="13"/>
      <c r="O376" s="13">
        <f t="shared" si="18"/>
        <v>0</v>
      </c>
      <c r="P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3">
      <c r="B377">
        <f t="shared" si="20"/>
        <v>373</v>
      </c>
      <c r="M377" s="13"/>
      <c r="N377" s="13"/>
      <c r="O377" s="13">
        <f t="shared" si="18"/>
        <v>0</v>
      </c>
      <c r="P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3">
      <c r="B378">
        <f t="shared" si="20"/>
        <v>374</v>
      </c>
      <c r="M378" s="13"/>
      <c r="N378" s="13"/>
      <c r="O378" s="13">
        <f t="shared" si="18"/>
        <v>0</v>
      </c>
      <c r="P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3">
      <c r="B379">
        <f t="shared" si="20"/>
        <v>375</v>
      </c>
      <c r="M379" s="13"/>
      <c r="N379" s="13"/>
      <c r="O379" s="13">
        <f t="shared" si="18"/>
        <v>0</v>
      </c>
      <c r="P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3">
      <c r="B380">
        <f t="shared" si="20"/>
        <v>376</v>
      </c>
      <c r="M380" s="13"/>
      <c r="N380" s="13"/>
      <c r="O380" s="13">
        <f t="shared" si="18"/>
        <v>0</v>
      </c>
      <c r="P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3">
      <c r="B381">
        <f t="shared" si="20"/>
        <v>377</v>
      </c>
      <c r="M381" s="13"/>
      <c r="N381" s="13"/>
      <c r="O381" s="13">
        <f t="shared" si="18"/>
        <v>0</v>
      </c>
      <c r="P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3">
      <c r="B382">
        <f t="shared" si="20"/>
        <v>378</v>
      </c>
      <c r="M382" s="13"/>
      <c r="N382" s="13"/>
      <c r="O382" s="13">
        <f t="shared" si="18"/>
        <v>0</v>
      </c>
      <c r="P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3">
      <c r="B383">
        <f t="shared" si="20"/>
        <v>379</v>
      </c>
      <c r="M383" s="13"/>
      <c r="N383" s="13"/>
      <c r="O383" s="13">
        <f t="shared" si="18"/>
        <v>0</v>
      </c>
      <c r="P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3">
      <c r="B384">
        <f t="shared" si="20"/>
        <v>380</v>
      </c>
      <c r="M384" s="13"/>
      <c r="N384" s="13"/>
      <c r="O384" s="13">
        <f t="shared" si="18"/>
        <v>0</v>
      </c>
      <c r="P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3">
      <c r="B385">
        <f t="shared" si="20"/>
        <v>381</v>
      </c>
      <c r="M385" s="13"/>
      <c r="N385" s="13"/>
      <c r="O385" s="13">
        <f t="shared" si="18"/>
        <v>0</v>
      </c>
      <c r="P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3">
      <c r="B386">
        <f t="shared" si="20"/>
        <v>382</v>
      </c>
      <c r="M386" s="13"/>
      <c r="N386" s="13"/>
      <c r="O386" s="13">
        <f t="shared" si="18"/>
        <v>0</v>
      </c>
      <c r="P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3">
      <c r="B387">
        <f t="shared" si="20"/>
        <v>383</v>
      </c>
      <c r="M387" s="13"/>
      <c r="N387" s="13"/>
      <c r="O387" s="13">
        <f t="shared" si="18"/>
        <v>0</v>
      </c>
      <c r="P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3">
      <c r="B388">
        <f t="shared" si="20"/>
        <v>384</v>
      </c>
      <c r="M388" s="13"/>
      <c r="N388" s="13"/>
      <c r="O388" s="13">
        <f t="shared" si="18"/>
        <v>0</v>
      </c>
      <c r="P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3">
      <c r="B389">
        <f t="shared" si="20"/>
        <v>385</v>
      </c>
      <c r="M389" s="13"/>
      <c r="N389" s="13"/>
      <c r="O389" s="13">
        <f t="shared" ref="O389:O452" si="21">+M389-N389</f>
        <v>0</v>
      </c>
      <c r="P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3">
      <c r="B390">
        <f t="shared" si="20"/>
        <v>386</v>
      </c>
      <c r="M390" s="13"/>
      <c r="N390" s="13"/>
      <c r="O390" s="13">
        <f t="shared" si="21"/>
        <v>0</v>
      </c>
      <c r="P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3">
      <c r="B391">
        <f t="shared" si="20"/>
        <v>387</v>
      </c>
      <c r="M391" s="13"/>
      <c r="N391" s="13"/>
      <c r="O391" s="13">
        <f t="shared" si="21"/>
        <v>0</v>
      </c>
      <c r="P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3">
      <c r="B392">
        <f t="shared" si="20"/>
        <v>388</v>
      </c>
      <c r="M392" s="13"/>
      <c r="N392" s="13"/>
      <c r="O392" s="13">
        <f t="shared" si="21"/>
        <v>0</v>
      </c>
      <c r="P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3">
      <c r="B393">
        <f t="shared" si="20"/>
        <v>389</v>
      </c>
      <c r="M393" s="13"/>
      <c r="N393" s="13"/>
      <c r="O393" s="13">
        <f t="shared" si="21"/>
        <v>0</v>
      </c>
      <c r="P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3">
      <c r="B394">
        <f t="shared" si="20"/>
        <v>390</v>
      </c>
      <c r="M394" s="13"/>
      <c r="N394" s="13"/>
      <c r="O394" s="13">
        <f t="shared" si="21"/>
        <v>0</v>
      </c>
      <c r="P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3">
      <c r="B395">
        <f t="shared" si="20"/>
        <v>391</v>
      </c>
      <c r="M395" s="13"/>
      <c r="N395" s="13"/>
      <c r="O395" s="13">
        <f t="shared" si="21"/>
        <v>0</v>
      </c>
      <c r="P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3">
      <c r="B396">
        <f t="shared" si="20"/>
        <v>392</v>
      </c>
      <c r="M396" s="13"/>
      <c r="N396" s="13"/>
      <c r="O396" s="13">
        <f t="shared" si="21"/>
        <v>0</v>
      </c>
      <c r="P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3">
      <c r="B397">
        <f t="shared" si="20"/>
        <v>393</v>
      </c>
      <c r="M397" s="13"/>
      <c r="N397" s="13"/>
      <c r="O397" s="13">
        <f t="shared" si="21"/>
        <v>0</v>
      </c>
      <c r="P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3">
      <c r="B398">
        <f t="shared" si="20"/>
        <v>394</v>
      </c>
      <c r="M398" s="13"/>
      <c r="N398" s="13"/>
      <c r="O398" s="13">
        <f t="shared" si="21"/>
        <v>0</v>
      </c>
      <c r="P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3">
      <c r="B399">
        <f t="shared" si="20"/>
        <v>395</v>
      </c>
      <c r="M399" s="13"/>
      <c r="N399" s="13"/>
      <c r="O399" s="13">
        <f t="shared" si="21"/>
        <v>0</v>
      </c>
      <c r="P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3">
      <c r="B400">
        <f t="shared" si="20"/>
        <v>396</v>
      </c>
      <c r="M400" s="13"/>
      <c r="N400" s="13"/>
      <c r="O400" s="13">
        <f t="shared" si="21"/>
        <v>0</v>
      </c>
      <c r="P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3">
      <c r="B401">
        <f t="shared" si="20"/>
        <v>397</v>
      </c>
      <c r="M401" s="13"/>
      <c r="N401" s="13"/>
      <c r="O401" s="13">
        <f t="shared" si="21"/>
        <v>0</v>
      </c>
      <c r="P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3">
      <c r="B402">
        <f t="shared" si="20"/>
        <v>398</v>
      </c>
      <c r="M402" s="13"/>
      <c r="N402" s="13"/>
      <c r="O402" s="13">
        <f t="shared" si="21"/>
        <v>0</v>
      </c>
      <c r="P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3">
      <c r="B403">
        <f t="shared" si="20"/>
        <v>399</v>
      </c>
      <c r="M403" s="13"/>
      <c r="N403" s="13"/>
      <c r="O403" s="13">
        <f t="shared" si="21"/>
        <v>0</v>
      </c>
      <c r="P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3">
      <c r="B404">
        <f t="shared" si="20"/>
        <v>400</v>
      </c>
      <c r="M404" s="13"/>
      <c r="N404" s="13"/>
      <c r="O404" s="13">
        <f t="shared" si="21"/>
        <v>0</v>
      </c>
      <c r="P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3">
      <c r="B405">
        <f t="shared" si="20"/>
        <v>401</v>
      </c>
      <c r="M405" s="13"/>
      <c r="N405" s="13"/>
      <c r="O405" s="13">
        <f t="shared" si="21"/>
        <v>0</v>
      </c>
      <c r="P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3">
      <c r="B406">
        <f t="shared" si="20"/>
        <v>402</v>
      </c>
      <c r="M406" s="13"/>
      <c r="N406" s="13"/>
      <c r="O406" s="13">
        <f t="shared" si="21"/>
        <v>0</v>
      </c>
      <c r="P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3">
      <c r="B407">
        <f t="shared" si="20"/>
        <v>403</v>
      </c>
      <c r="M407" s="13"/>
      <c r="N407" s="13"/>
      <c r="O407" s="13">
        <f t="shared" si="21"/>
        <v>0</v>
      </c>
      <c r="P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3">
      <c r="B408">
        <f t="shared" si="20"/>
        <v>404</v>
      </c>
      <c r="M408" s="13"/>
      <c r="N408" s="13"/>
      <c r="O408" s="13">
        <f t="shared" si="21"/>
        <v>0</v>
      </c>
      <c r="P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3">
      <c r="B409">
        <f t="shared" si="20"/>
        <v>405</v>
      </c>
      <c r="M409" s="13"/>
      <c r="N409" s="13"/>
      <c r="O409" s="13">
        <f t="shared" si="21"/>
        <v>0</v>
      </c>
      <c r="P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3">
      <c r="B410">
        <f t="shared" si="20"/>
        <v>406</v>
      </c>
      <c r="M410" s="13"/>
      <c r="N410" s="13"/>
      <c r="O410" s="13">
        <f t="shared" si="21"/>
        <v>0</v>
      </c>
      <c r="P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3">
      <c r="B411">
        <f t="shared" ref="B411:B474" si="22">+B410+1</f>
        <v>407</v>
      </c>
      <c r="M411" s="13"/>
      <c r="N411" s="13"/>
      <c r="O411" s="13">
        <f t="shared" si="21"/>
        <v>0</v>
      </c>
      <c r="P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3">
      <c r="B412">
        <f t="shared" si="22"/>
        <v>408</v>
      </c>
      <c r="M412" s="13"/>
      <c r="N412" s="13"/>
      <c r="O412" s="13">
        <f t="shared" si="21"/>
        <v>0</v>
      </c>
      <c r="P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3">
      <c r="B413">
        <f t="shared" si="22"/>
        <v>409</v>
      </c>
      <c r="M413" s="13"/>
      <c r="N413" s="13"/>
      <c r="O413" s="13">
        <f t="shared" si="21"/>
        <v>0</v>
      </c>
      <c r="P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3">
      <c r="B414">
        <f t="shared" si="22"/>
        <v>410</v>
      </c>
      <c r="M414" s="13"/>
      <c r="N414" s="13"/>
      <c r="O414" s="13">
        <f t="shared" si="21"/>
        <v>0</v>
      </c>
      <c r="P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3">
      <c r="B415">
        <f t="shared" si="22"/>
        <v>411</v>
      </c>
      <c r="M415" s="13"/>
      <c r="N415" s="13"/>
      <c r="O415" s="13">
        <f t="shared" si="21"/>
        <v>0</v>
      </c>
      <c r="P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3">
      <c r="B416">
        <f t="shared" si="22"/>
        <v>412</v>
      </c>
      <c r="M416" s="13"/>
      <c r="N416" s="13"/>
      <c r="O416" s="13">
        <f t="shared" si="21"/>
        <v>0</v>
      </c>
      <c r="P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3">
      <c r="B417">
        <f t="shared" si="22"/>
        <v>413</v>
      </c>
      <c r="M417" s="13"/>
      <c r="N417" s="13"/>
      <c r="O417" s="13">
        <f t="shared" si="21"/>
        <v>0</v>
      </c>
      <c r="P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3">
      <c r="B418">
        <f t="shared" si="22"/>
        <v>414</v>
      </c>
      <c r="M418" s="13"/>
      <c r="N418" s="13"/>
      <c r="O418" s="13">
        <f t="shared" si="21"/>
        <v>0</v>
      </c>
      <c r="P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3">
      <c r="B419">
        <f t="shared" si="22"/>
        <v>415</v>
      </c>
      <c r="M419" s="13"/>
      <c r="N419" s="13"/>
      <c r="O419" s="13">
        <f t="shared" si="21"/>
        <v>0</v>
      </c>
      <c r="P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3">
      <c r="B420">
        <f t="shared" si="22"/>
        <v>416</v>
      </c>
      <c r="M420" s="13"/>
      <c r="N420" s="13"/>
      <c r="O420" s="13">
        <f t="shared" si="21"/>
        <v>0</v>
      </c>
      <c r="P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3">
      <c r="B421">
        <f t="shared" si="22"/>
        <v>417</v>
      </c>
      <c r="M421" s="13"/>
      <c r="N421" s="13"/>
      <c r="O421" s="13">
        <f t="shared" si="21"/>
        <v>0</v>
      </c>
      <c r="P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3">
      <c r="B422">
        <f t="shared" si="22"/>
        <v>418</v>
      </c>
      <c r="M422" s="13"/>
      <c r="N422" s="13"/>
      <c r="O422" s="13">
        <f t="shared" si="21"/>
        <v>0</v>
      </c>
      <c r="P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3">
      <c r="B423">
        <f t="shared" si="22"/>
        <v>419</v>
      </c>
      <c r="M423" s="13"/>
      <c r="N423" s="13"/>
      <c r="O423" s="13">
        <f t="shared" si="21"/>
        <v>0</v>
      </c>
      <c r="P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3">
      <c r="B424">
        <f t="shared" si="22"/>
        <v>420</v>
      </c>
      <c r="M424" s="13"/>
      <c r="N424" s="13"/>
      <c r="O424" s="13">
        <f t="shared" si="21"/>
        <v>0</v>
      </c>
      <c r="P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3">
      <c r="B425">
        <f t="shared" si="22"/>
        <v>421</v>
      </c>
      <c r="M425" s="13"/>
      <c r="N425" s="13"/>
      <c r="O425" s="13">
        <f t="shared" si="21"/>
        <v>0</v>
      </c>
      <c r="P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3">
      <c r="B426">
        <f t="shared" si="22"/>
        <v>422</v>
      </c>
      <c r="M426" s="13"/>
      <c r="N426" s="13"/>
      <c r="O426" s="13">
        <f t="shared" si="21"/>
        <v>0</v>
      </c>
      <c r="P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3">
      <c r="B427">
        <f t="shared" si="22"/>
        <v>423</v>
      </c>
      <c r="M427" s="13"/>
      <c r="N427" s="13"/>
      <c r="O427" s="13">
        <f t="shared" si="21"/>
        <v>0</v>
      </c>
      <c r="P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3">
      <c r="B428">
        <f t="shared" si="22"/>
        <v>424</v>
      </c>
      <c r="M428" s="13"/>
      <c r="N428" s="13"/>
      <c r="O428" s="13">
        <f t="shared" si="21"/>
        <v>0</v>
      </c>
      <c r="P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3">
      <c r="B429">
        <f t="shared" si="22"/>
        <v>425</v>
      </c>
      <c r="M429" s="13"/>
      <c r="N429" s="13"/>
      <c r="O429" s="13">
        <f t="shared" si="21"/>
        <v>0</v>
      </c>
      <c r="P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3">
      <c r="B430">
        <f t="shared" si="22"/>
        <v>426</v>
      </c>
      <c r="M430" s="13"/>
      <c r="N430" s="13"/>
      <c r="O430" s="13">
        <f t="shared" si="21"/>
        <v>0</v>
      </c>
      <c r="P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3">
      <c r="B431">
        <f t="shared" si="22"/>
        <v>427</v>
      </c>
      <c r="M431" s="13"/>
      <c r="N431" s="13"/>
      <c r="O431" s="13">
        <f t="shared" si="21"/>
        <v>0</v>
      </c>
      <c r="P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3">
      <c r="B432">
        <f t="shared" si="22"/>
        <v>428</v>
      </c>
      <c r="M432" s="13"/>
      <c r="N432" s="13"/>
      <c r="O432" s="13">
        <f t="shared" si="21"/>
        <v>0</v>
      </c>
      <c r="P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3">
      <c r="B433">
        <f t="shared" si="22"/>
        <v>429</v>
      </c>
      <c r="M433" s="13"/>
      <c r="N433" s="13"/>
      <c r="O433" s="13">
        <f t="shared" si="21"/>
        <v>0</v>
      </c>
      <c r="P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3">
      <c r="B434">
        <f t="shared" si="22"/>
        <v>430</v>
      </c>
      <c r="M434" s="13"/>
      <c r="N434" s="13"/>
      <c r="O434" s="13">
        <f t="shared" si="21"/>
        <v>0</v>
      </c>
      <c r="P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3">
      <c r="B435">
        <f t="shared" si="22"/>
        <v>431</v>
      </c>
      <c r="M435" s="13"/>
      <c r="N435" s="13"/>
      <c r="O435" s="13">
        <f t="shared" si="21"/>
        <v>0</v>
      </c>
      <c r="P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3">
      <c r="B436">
        <f t="shared" si="22"/>
        <v>432</v>
      </c>
      <c r="M436" s="13"/>
      <c r="N436" s="13"/>
      <c r="O436" s="13">
        <f t="shared" si="21"/>
        <v>0</v>
      </c>
      <c r="P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3">
      <c r="B437">
        <f t="shared" si="22"/>
        <v>433</v>
      </c>
      <c r="M437" s="13"/>
      <c r="N437" s="13"/>
      <c r="O437" s="13">
        <f t="shared" si="21"/>
        <v>0</v>
      </c>
      <c r="P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3">
      <c r="B438">
        <f t="shared" si="22"/>
        <v>434</v>
      </c>
      <c r="M438" s="13"/>
      <c r="N438" s="13"/>
      <c r="O438" s="13">
        <f t="shared" si="21"/>
        <v>0</v>
      </c>
      <c r="P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3">
      <c r="B439">
        <f t="shared" si="22"/>
        <v>435</v>
      </c>
      <c r="M439" s="13"/>
      <c r="N439" s="13"/>
      <c r="O439" s="13">
        <f t="shared" si="21"/>
        <v>0</v>
      </c>
      <c r="P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3">
      <c r="B440">
        <f t="shared" si="22"/>
        <v>436</v>
      </c>
      <c r="M440" s="13"/>
      <c r="N440" s="13"/>
      <c r="O440" s="13">
        <f t="shared" si="21"/>
        <v>0</v>
      </c>
      <c r="P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3">
      <c r="B441">
        <f t="shared" si="22"/>
        <v>437</v>
      </c>
      <c r="M441" s="13"/>
      <c r="N441" s="13"/>
      <c r="O441" s="13">
        <f t="shared" si="21"/>
        <v>0</v>
      </c>
      <c r="P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3">
      <c r="B442">
        <f t="shared" si="22"/>
        <v>438</v>
      </c>
      <c r="M442" s="13"/>
      <c r="N442" s="13"/>
      <c r="O442" s="13">
        <f t="shared" si="21"/>
        <v>0</v>
      </c>
      <c r="P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3">
      <c r="B443">
        <f t="shared" si="22"/>
        <v>439</v>
      </c>
      <c r="M443" s="13"/>
      <c r="N443" s="13"/>
      <c r="O443" s="13">
        <f t="shared" si="21"/>
        <v>0</v>
      </c>
      <c r="P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3">
      <c r="B444">
        <f t="shared" si="22"/>
        <v>440</v>
      </c>
      <c r="M444" s="13"/>
      <c r="N444" s="13"/>
      <c r="O444" s="13">
        <f t="shared" si="21"/>
        <v>0</v>
      </c>
      <c r="P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3">
      <c r="B445">
        <f t="shared" si="22"/>
        <v>441</v>
      </c>
      <c r="M445" s="13"/>
      <c r="N445" s="13"/>
      <c r="O445" s="13">
        <f t="shared" si="21"/>
        <v>0</v>
      </c>
      <c r="P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3">
      <c r="B446">
        <f t="shared" si="22"/>
        <v>442</v>
      </c>
      <c r="M446" s="13"/>
      <c r="N446" s="13"/>
      <c r="O446" s="13">
        <f t="shared" si="21"/>
        <v>0</v>
      </c>
      <c r="P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3">
      <c r="B447">
        <f t="shared" si="22"/>
        <v>443</v>
      </c>
      <c r="M447" s="13"/>
      <c r="N447" s="13"/>
      <c r="O447" s="13">
        <f t="shared" si="21"/>
        <v>0</v>
      </c>
      <c r="P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3">
      <c r="B448">
        <f t="shared" si="22"/>
        <v>444</v>
      </c>
      <c r="M448" s="13"/>
      <c r="N448" s="13"/>
      <c r="O448" s="13">
        <f t="shared" si="21"/>
        <v>0</v>
      </c>
      <c r="P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3">
      <c r="B449">
        <f t="shared" si="22"/>
        <v>445</v>
      </c>
      <c r="M449" s="13"/>
      <c r="N449" s="13"/>
      <c r="O449" s="13">
        <f t="shared" si="21"/>
        <v>0</v>
      </c>
      <c r="P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3">
      <c r="B450">
        <f t="shared" si="22"/>
        <v>446</v>
      </c>
      <c r="M450" s="13"/>
      <c r="N450" s="13"/>
      <c r="O450" s="13">
        <f t="shared" si="21"/>
        <v>0</v>
      </c>
      <c r="P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3">
      <c r="B451">
        <f t="shared" si="22"/>
        <v>447</v>
      </c>
      <c r="M451" s="13"/>
      <c r="N451" s="13"/>
      <c r="O451" s="13">
        <f t="shared" si="21"/>
        <v>0</v>
      </c>
      <c r="P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3">
      <c r="B452">
        <f t="shared" si="22"/>
        <v>448</v>
      </c>
      <c r="M452" s="13"/>
      <c r="N452" s="13"/>
      <c r="O452" s="13">
        <f t="shared" si="21"/>
        <v>0</v>
      </c>
      <c r="P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3">
      <c r="B453">
        <f t="shared" si="22"/>
        <v>449</v>
      </c>
      <c r="M453" s="13"/>
      <c r="N453" s="13"/>
      <c r="O453" s="13">
        <f t="shared" ref="O453:O504" si="23">+M453-N453</f>
        <v>0</v>
      </c>
      <c r="P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3">
      <c r="B454">
        <f t="shared" si="22"/>
        <v>450</v>
      </c>
      <c r="M454" s="13"/>
      <c r="N454" s="13"/>
      <c r="O454" s="13">
        <f t="shared" si="23"/>
        <v>0</v>
      </c>
      <c r="P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3">
      <c r="B455">
        <f t="shared" si="22"/>
        <v>451</v>
      </c>
      <c r="M455" s="13"/>
      <c r="N455" s="13"/>
      <c r="O455" s="13">
        <f t="shared" si="23"/>
        <v>0</v>
      </c>
      <c r="P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3">
      <c r="B456">
        <f t="shared" si="22"/>
        <v>452</v>
      </c>
      <c r="M456" s="13"/>
      <c r="N456" s="13"/>
      <c r="O456" s="13">
        <f t="shared" si="23"/>
        <v>0</v>
      </c>
      <c r="P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3">
      <c r="B457">
        <f t="shared" si="22"/>
        <v>453</v>
      </c>
      <c r="M457" s="13"/>
      <c r="N457" s="13"/>
      <c r="O457" s="13">
        <f t="shared" si="23"/>
        <v>0</v>
      </c>
      <c r="P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3">
      <c r="B458">
        <f t="shared" si="22"/>
        <v>454</v>
      </c>
      <c r="M458" s="13"/>
      <c r="N458" s="13"/>
      <c r="O458" s="13">
        <f t="shared" si="23"/>
        <v>0</v>
      </c>
      <c r="P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3">
      <c r="B459">
        <f t="shared" si="22"/>
        <v>455</v>
      </c>
      <c r="M459" s="13"/>
      <c r="N459" s="13"/>
      <c r="O459" s="13">
        <f t="shared" si="23"/>
        <v>0</v>
      </c>
      <c r="P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3">
      <c r="B460">
        <f t="shared" si="22"/>
        <v>456</v>
      </c>
      <c r="M460" s="13"/>
      <c r="N460" s="13"/>
      <c r="O460" s="13">
        <f t="shared" si="23"/>
        <v>0</v>
      </c>
      <c r="P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3">
      <c r="B461">
        <f t="shared" si="22"/>
        <v>457</v>
      </c>
      <c r="M461" s="13"/>
      <c r="N461" s="13"/>
      <c r="O461" s="13">
        <f t="shared" si="23"/>
        <v>0</v>
      </c>
      <c r="P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3">
      <c r="B462">
        <f t="shared" si="22"/>
        <v>458</v>
      </c>
      <c r="M462" s="13"/>
      <c r="N462" s="13"/>
      <c r="O462" s="13">
        <f t="shared" si="23"/>
        <v>0</v>
      </c>
      <c r="P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3">
      <c r="B463">
        <f t="shared" si="22"/>
        <v>459</v>
      </c>
      <c r="M463" s="13"/>
      <c r="N463" s="13"/>
      <c r="O463" s="13">
        <f t="shared" si="23"/>
        <v>0</v>
      </c>
      <c r="P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3">
      <c r="B464">
        <f t="shared" si="22"/>
        <v>460</v>
      </c>
      <c r="M464" s="13"/>
      <c r="N464" s="13"/>
      <c r="O464" s="13">
        <f t="shared" si="23"/>
        <v>0</v>
      </c>
      <c r="P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3">
      <c r="B465">
        <f t="shared" si="22"/>
        <v>461</v>
      </c>
      <c r="M465" s="13"/>
      <c r="N465" s="13"/>
      <c r="O465" s="13">
        <f t="shared" si="23"/>
        <v>0</v>
      </c>
      <c r="P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3">
      <c r="B466">
        <f t="shared" si="22"/>
        <v>462</v>
      </c>
      <c r="M466" s="13"/>
      <c r="N466" s="13"/>
      <c r="O466" s="13">
        <f t="shared" si="23"/>
        <v>0</v>
      </c>
      <c r="P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3">
      <c r="B467">
        <f t="shared" si="22"/>
        <v>463</v>
      </c>
      <c r="M467" s="13"/>
      <c r="N467" s="13"/>
      <c r="O467" s="13">
        <f t="shared" si="23"/>
        <v>0</v>
      </c>
      <c r="P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3">
      <c r="B468">
        <f t="shared" si="22"/>
        <v>464</v>
      </c>
      <c r="M468" s="13"/>
      <c r="N468" s="13"/>
      <c r="O468" s="13">
        <f t="shared" si="23"/>
        <v>0</v>
      </c>
      <c r="P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3">
      <c r="B469">
        <f t="shared" si="22"/>
        <v>465</v>
      </c>
      <c r="M469" s="13"/>
      <c r="N469" s="13"/>
      <c r="O469" s="13">
        <f t="shared" si="23"/>
        <v>0</v>
      </c>
      <c r="P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3">
      <c r="B470">
        <f t="shared" si="22"/>
        <v>466</v>
      </c>
      <c r="M470" s="13"/>
      <c r="N470" s="13"/>
      <c r="O470" s="13">
        <f t="shared" si="23"/>
        <v>0</v>
      </c>
      <c r="P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3">
      <c r="B471">
        <f t="shared" si="22"/>
        <v>467</v>
      </c>
      <c r="M471" s="13"/>
      <c r="N471" s="13"/>
      <c r="O471" s="13">
        <f t="shared" si="23"/>
        <v>0</v>
      </c>
      <c r="P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3">
      <c r="B472">
        <f t="shared" si="22"/>
        <v>468</v>
      </c>
      <c r="M472" s="13"/>
      <c r="N472" s="13"/>
      <c r="O472" s="13">
        <f t="shared" si="23"/>
        <v>0</v>
      </c>
      <c r="P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3">
      <c r="B473">
        <f t="shared" si="22"/>
        <v>469</v>
      </c>
      <c r="M473" s="13"/>
      <c r="N473" s="13"/>
      <c r="O473" s="13">
        <f t="shared" si="23"/>
        <v>0</v>
      </c>
      <c r="P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3">
      <c r="B474">
        <f t="shared" si="22"/>
        <v>470</v>
      </c>
      <c r="M474" s="13"/>
      <c r="N474" s="13"/>
      <c r="O474" s="13">
        <f t="shared" si="23"/>
        <v>0</v>
      </c>
      <c r="P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3">
      <c r="B475">
        <f t="shared" ref="B475:B504" si="24">+B474+1</f>
        <v>471</v>
      </c>
      <c r="M475" s="13"/>
      <c r="N475" s="13"/>
      <c r="O475" s="13">
        <f t="shared" si="23"/>
        <v>0</v>
      </c>
      <c r="P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3">
      <c r="B476">
        <f t="shared" si="24"/>
        <v>472</v>
      </c>
      <c r="M476" s="13"/>
      <c r="N476" s="13"/>
      <c r="O476" s="13">
        <f t="shared" si="23"/>
        <v>0</v>
      </c>
      <c r="P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3">
      <c r="B477">
        <f t="shared" si="24"/>
        <v>473</v>
      </c>
      <c r="M477" s="13"/>
      <c r="N477" s="13"/>
      <c r="O477" s="13">
        <f t="shared" si="23"/>
        <v>0</v>
      </c>
      <c r="P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3">
      <c r="B478">
        <f t="shared" si="24"/>
        <v>474</v>
      </c>
      <c r="M478" s="13"/>
      <c r="N478" s="13"/>
      <c r="O478" s="13">
        <f t="shared" si="23"/>
        <v>0</v>
      </c>
      <c r="P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3">
      <c r="B479">
        <f t="shared" si="24"/>
        <v>475</v>
      </c>
      <c r="M479" s="13"/>
      <c r="N479" s="13"/>
      <c r="O479" s="13">
        <f t="shared" si="23"/>
        <v>0</v>
      </c>
      <c r="P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3">
      <c r="B480">
        <f t="shared" si="24"/>
        <v>476</v>
      </c>
      <c r="M480" s="13"/>
      <c r="N480" s="13"/>
      <c r="O480" s="13">
        <f t="shared" si="23"/>
        <v>0</v>
      </c>
      <c r="P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3">
      <c r="B481">
        <f t="shared" si="24"/>
        <v>477</v>
      </c>
      <c r="M481" s="13"/>
      <c r="N481" s="13"/>
      <c r="O481" s="13">
        <f t="shared" si="23"/>
        <v>0</v>
      </c>
      <c r="P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3">
      <c r="B482">
        <f t="shared" si="24"/>
        <v>478</v>
      </c>
      <c r="M482" s="13"/>
      <c r="N482" s="13"/>
      <c r="O482" s="13">
        <f t="shared" si="23"/>
        <v>0</v>
      </c>
      <c r="P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3">
      <c r="B483">
        <f t="shared" si="24"/>
        <v>479</v>
      </c>
      <c r="M483" s="13"/>
      <c r="N483" s="13"/>
      <c r="O483" s="13">
        <f t="shared" si="23"/>
        <v>0</v>
      </c>
      <c r="P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3">
      <c r="B484">
        <f t="shared" si="24"/>
        <v>480</v>
      </c>
      <c r="M484" s="13"/>
      <c r="N484" s="13"/>
      <c r="O484" s="13">
        <f t="shared" si="23"/>
        <v>0</v>
      </c>
      <c r="P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3">
      <c r="B485">
        <f t="shared" si="24"/>
        <v>481</v>
      </c>
      <c r="M485" s="13"/>
      <c r="N485" s="13"/>
      <c r="O485" s="13">
        <f t="shared" si="23"/>
        <v>0</v>
      </c>
      <c r="P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3">
      <c r="B486">
        <f t="shared" si="24"/>
        <v>482</v>
      </c>
      <c r="M486" s="13"/>
      <c r="N486" s="13"/>
      <c r="O486" s="13">
        <f t="shared" si="23"/>
        <v>0</v>
      </c>
      <c r="P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3">
      <c r="B487">
        <f t="shared" si="24"/>
        <v>483</v>
      </c>
      <c r="M487" s="13"/>
      <c r="N487" s="13"/>
      <c r="O487" s="13">
        <f t="shared" si="23"/>
        <v>0</v>
      </c>
      <c r="P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3">
      <c r="B488">
        <f t="shared" si="24"/>
        <v>484</v>
      </c>
      <c r="M488" s="13"/>
      <c r="N488" s="13"/>
      <c r="O488" s="13">
        <f t="shared" si="23"/>
        <v>0</v>
      </c>
      <c r="P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3">
      <c r="B489">
        <f t="shared" si="24"/>
        <v>485</v>
      </c>
      <c r="M489" s="13"/>
      <c r="N489" s="13"/>
      <c r="O489" s="13">
        <f t="shared" si="23"/>
        <v>0</v>
      </c>
      <c r="P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3">
      <c r="B490">
        <f t="shared" si="24"/>
        <v>486</v>
      </c>
      <c r="M490" s="13"/>
      <c r="N490" s="13"/>
      <c r="O490" s="13">
        <f t="shared" si="23"/>
        <v>0</v>
      </c>
      <c r="P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3">
      <c r="B491">
        <f t="shared" si="24"/>
        <v>487</v>
      </c>
      <c r="M491" s="13"/>
      <c r="N491" s="13"/>
      <c r="O491" s="13">
        <f t="shared" si="23"/>
        <v>0</v>
      </c>
      <c r="P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3">
      <c r="B492">
        <f t="shared" si="24"/>
        <v>488</v>
      </c>
      <c r="M492" s="13"/>
      <c r="N492" s="13"/>
      <c r="O492" s="13">
        <f t="shared" si="23"/>
        <v>0</v>
      </c>
      <c r="P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3">
      <c r="B493">
        <f t="shared" si="24"/>
        <v>489</v>
      </c>
      <c r="M493" s="13"/>
      <c r="N493" s="13"/>
      <c r="O493" s="13">
        <f t="shared" si="23"/>
        <v>0</v>
      </c>
      <c r="P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3">
      <c r="B494">
        <f t="shared" si="24"/>
        <v>490</v>
      </c>
      <c r="M494" s="13"/>
      <c r="N494" s="13"/>
      <c r="O494" s="13">
        <f t="shared" si="23"/>
        <v>0</v>
      </c>
      <c r="P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3">
      <c r="B495">
        <f t="shared" si="24"/>
        <v>491</v>
      </c>
      <c r="M495" s="13"/>
      <c r="N495" s="13"/>
      <c r="O495" s="13">
        <f t="shared" si="23"/>
        <v>0</v>
      </c>
      <c r="P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3">
      <c r="B496">
        <f t="shared" si="24"/>
        <v>492</v>
      </c>
      <c r="M496" s="13"/>
      <c r="N496" s="13"/>
      <c r="O496" s="13">
        <f t="shared" si="23"/>
        <v>0</v>
      </c>
      <c r="P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62" x14ac:dyDescent="0.3">
      <c r="B497">
        <f t="shared" si="24"/>
        <v>493</v>
      </c>
      <c r="M497" s="13"/>
      <c r="N497" s="13"/>
      <c r="O497" s="13">
        <f t="shared" si="23"/>
        <v>0</v>
      </c>
      <c r="P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62" x14ac:dyDescent="0.3">
      <c r="B498">
        <f t="shared" si="24"/>
        <v>494</v>
      </c>
      <c r="M498" s="13"/>
      <c r="N498" s="13"/>
      <c r="O498" s="13">
        <f t="shared" si="23"/>
        <v>0</v>
      </c>
      <c r="P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62" x14ac:dyDescent="0.3">
      <c r="B499">
        <f t="shared" si="24"/>
        <v>495</v>
      </c>
      <c r="M499" s="13"/>
      <c r="N499" s="13"/>
      <c r="O499" s="13">
        <f t="shared" si="23"/>
        <v>0</v>
      </c>
      <c r="P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62" x14ac:dyDescent="0.3">
      <c r="B500">
        <f t="shared" si="24"/>
        <v>496</v>
      </c>
      <c r="M500" s="13"/>
      <c r="N500" s="13"/>
      <c r="O500" s="13">
        <f t="shared" si="23"/>
        <v>0</v>
      </c>
      <c r="P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62" x14ac:dyDescent="0.3">
      <c r="B501">
        <f t="shared" si="24"/>
        <v>497</v>
      </c>
      <c r="M501" s="13"/>
      <c r="N501" s="13"/>
      <c r="O501" s="13">
        <f t="shared" si="23"/>
        <v>0</v>
      </c>
      <c r="P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62" x14ac:dyDescent="0.3">
      <c r="B502">
        <f t="shared" si="24"/>
        <v>498</v>
      </c>
      <c r="M502" s="13"/>
      <c r="N502" s="13"/>
      <c r="O502" s="13">
        <f t="shared" si="23"/>
        <v>0</v>
      </c>
      <c r="P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62" x14ac:dyDescent="0.3">
      <c r="B503">
        <f t="shared" si="24"/>
        <v>499</v>
      </c>
      <c r="M503" s="13"/>
      <c r="N503" s="13"/>
      <c r="O503" s="13">
        <f t="shared" si="23"/>
        <v>0</v>
      </c>
      <c r="P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62" x14ac:dyDescent="0.3">
      <c r="B504">
        <f t="shared" si="24"/>
        <v>500</v>
      </c>
      <c r="M504" s="13"/>
      <c r="N504" s="13"/>
      <c r="O504" s="13">
        <f t="shared" si="23"/>
        <v>0</v>
      </c>
      <c r="P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62" x14ac:dyDescent="0.3">
      <c r="B505" t="s">
        <v>144</v>
      </c>
      <c r="C505" t="s">
        <v>144</v>
      </c>
      <c r="D505" t="s">
        <v>144</v>
      </c>
      <c r="E505" t="s">
        <v>144</v>
      </c>
      <c r="F505" t="s">
        <v>144</v>
      </c>
      <c r="G505" t="s">
        <v>144</v>
      </c>
      <c r="H505" t="s">
        <v>144</v>
      </c>
      <c r="I505" t="s">
        <v>144</v>
      </c>
      <c r="J505" t="s">
        <v>144</v>
      </c>
      <c r="K505" t="s">
        <v>144</v>
      </c>
      <c r="L505" t="s">
        <v>144</v>
      </c>
      <c r="M505" t="s">
        <v>144</v>
      </c>
      <c r="N505" t="s">
        <v>144</v>
      </c>
      <c r="O505" t="s">
        <v>144</v>
      </c>
      <c r="P505" t="s">
        <v>144</v>
      </c>
      <c r="Q505" t="s">
        <v>144</v>
      </c>
      <c r="R505" t="s">
        <v>144</v>
      </c>
      <c r="S505" t="s">
        <v>144</v>
      </c>
      <c r="T505" t="s">
        <v>144</v>
      </c>
      <c r="U505" t="s">
        <v>144</v>
      </c>
      <c r="V505" t="s">
        <v>144</v>
      </c>
      <c r="W505" t="s">
        <v>144</v>
      </c>
      <c r="X505" t="s">
        <v>144</v>
      </c>
      <c r="Y505" t="s">
        <v>144</v>
      </c>
      <c r="Z505" t="s">
        <v>144</v>
      </c>
      <c r="AA505" t="s">
        <v>144</v>
      </c>
      <c r="AB505" t="s">
        <v>144</v>
      </c>
      <c r="AC505" t="s">
        <v>144</v>
      </c>
      <c r="AD505" t="s">
        <v>144</v>
      </c>
      <c r="AE505" t="s">
        <v>144</v>
      </c>
      <c r="AF505" t="s">
        <v>144</v>
      </c>
      <c r="AG505" t="s">
        <v>144</v>
      </c>
      <c r="AH505" t="s">
        <v>144</v>
      </c>
      <c r="AI505" t="s">
        <v>144</v>
      </c>
      <c r="AJ505" t="s">
        <v>144</v>
      </c>
      <c r="AK505" t="s">
        <v>144</v>
      </c>
      <c r="AL505" t="s">
        <v>144</v>
      </c>
      <c r="AM505" t="s">
        <v>144</v>
      </c>
      <c r="AN505" t="s">
        <v>144</v>
      </c>
      <c r="AO505" t="s">
        <v>144</v>
      </c>
      <c r="AP505" t="s">
        <v>144</v>
      </c>
      <c r="AQ505" t="s">
        <v>144</v>
      </c>
      <c r="AR505" t="s">
        <v>144</v>
      </c>
      <c r="AS505" t="s">
        <v>144</v>
      </c>
      <c r="AT505" t="s">
        <v>144</v>
      </c>
      <c r="AU505" t="s">
        <v>144</v>
      </c>
      <c r="AV505" t="s">
        <v>144</v>
      </c>
      <c r="AW505" t="s">
        <v>144</v>
      </c>
      <c r="AX505" t="s">
        <v>144</v>
      </c>
      <c r="AY505" t="s">
        <v>144</v>
      </c>
      <c r="AZ505" t="s">
        <v>144</v>
      </c>
      <c r="BA505" t="s">
        <v>144</v>
      </c>
      <c r="BB505" t="s">
        <v>144</v>
      </c>
      <c r="BC505" t="s">
        <v>144</v>
      </c>
      <c r="BD505" t="s">
        <v>144</v>
      </c>
      <c r="BE505" t="s">
        <v>144</v>
      </c>
      <c r="BF505" t="s">
        <v>144</v>
      </c>
      <c r="BG505" t="s">
        <v>144</v>
      </c>
      <c r="BH505" t="s">
        <v>144</v>
      </c>
      <c r="BI505" t="s">
        <v>144</v>
      </c>
      <c r="BJ505" t="s">
        <v>144</v>
      </c>
    </row>
  </sheetData>
  <phoneticPr fontId="3" type="noConversion"/>
  <conditionalFormatting sqref="F3">
    <cfRule type="duplicateValues" dxfId="0" priority="3"/>
  </conditionalFormatting>
  <dataValidations count="8">
    <dataValidation type="list" errorStyle="warning" allowBlank="1" showInputMessage="1" showErrorMessage="1" errorTitle="LİSTEDEN SEÇİM YAPINIZ" promptTitle="LİSTEDEN SEÇİM YAPINIZ" sqref="S3" xr:uid="{00000000-0002-0000-0000-000000000000}">
      <formula1>#REF!</formula1>
    </dataValidation>
    <dataValidation type="list" allowBlank="1" showInputMessage="1" showErrorMessage="1" sqref="V3" xr:uid="{00000000-0002-0000-0000-000001000000}">
      <formula1>$AI$4:$AI$11</formula1>
    </dataValidation>
    <dataValidation type="list" errorStyle="warning" allowBlank="1" showInputMessage="1" showErrorMessage="1" errorTitle="LİSTEDEN SEÇİM YAPINIZ" promptTitle="LİSTEDEN SEÇİM YAPINIZ" sqref="X3" xr:uid="{00000000-0002-0000-0000-000002000000}">
      <formula1>$AK$4:$AK$5</formula1>
    </dataValidation>
    <dataValidation type="list" errorStyle="warning" allowBlank="1" showInputMessage="1" showErrorMessage="1" errorTitle="LİSTEDEN SEÇİM YAPINIZ" promptTitle="LİSTEDEN SEÇİM YAPINIZ" sqref="W3" xr:uid="{00000000-0002-0000-0000-000003000000}">
      <formula1>$AJ$4:$AJ$13</formula1>
    </dataValidation>
    <dataValidation type="list" errorStyle="warning" allowBlank="1" showInputMessage="1" showErrorMessage="1" errorTitle="LİSTEDEN SEÇİM YAPINIZ" promptTitle="LİSTEDEN SEÇİM YAPINIZ" sqref="P3" xr:uid="{00000000-0002-0000-0000-000004000000}">
      <formula1>$AG$4:$AG$9</formula1>
    </dataValidation>
    <dataValidation type="list" allowBlank="1" showInputMessage="1" showErrorMessage="1" sqref="Z5:AA504 X5:X504" xr:uid="{00000000-0002-0000-0000-000005000000}">
      <formula1>INDIRECT(W5)</formula1>
    </dataValidation>
    <dataValidation type="list" errorStyle="warning" allowBlank="1" showInputMessage="1" showErrorMessage="1" errorTitle="LİSTEDEN SEÇİM YAPINIZ" promptTitle="LİSTEDEN SEÇİM YAPINIZ" sqref="Y3 AA3" xr:uid="{00000000-0002-0000-0000-000006000000}">
      <formula1>$AL$4:$AL$7</formula1>
    </dataValidation>
    <dataValidation type="list" allowBlank="1" showInputMessage="1" showErrorMessage="1" sqref="Y5:Y504" xr:uid="{00000000-0002-0000-0000-000007000000}">
      <formula1>INDIRECT(V5)</formula1>
    </dataValidation>
  </dataValidations>
  <hyperlinks>
    <hyperlink ref="P1" location="VERİ!B2" display="VERİ!B2" xr:uid="{00000000-0004-0000-0000-000000000000}"/>
    <hyperlink ref="S1" location="VERİ!E2" display="VERİ!E2" xr:uid="{00000000-0004-0000-0000-000001000000}"/>
    <hyperlink ref="T1:U1" location="VERİ!D2" display="VERİ!D2" xr:uid="{00000000-0004-0000-0000-000002000000}"/>
    <hyperlink ref="T1" location="VERİ!C2" display="VERİ!C2" xr:uid="{00000000-0004-0000-0000-000003000000}"/>
    <hyperlink ref="V1" location="VERİ!T2" display="VERİ!T2" xr:uid="{00000000-0004-0000-0000-000004000000}"/>
    <hyperlink ref="W1" location="VERİ!O2" display="VERİ!O2" xr:uid="{00000000-0004-0000-0000-000005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8000000}">
          <x14:formula1>
            <xm:f>VERİ!$B$4:$B$14</xm:f>
          </x14:formula1>
          <xm:sqref>P5:P504</xm:sqref>
        </x14:dataValidation>
        <x14:dataValidation type="list" allowBlank="1" showInputMessage="1" showErrorMessage="1" xr:uid="{00000000-0002-0000-0000-000009000000}">
          <x14:formula1>
            <xm:f>VERİ!$E$4:$E$10</xm:f>
          </x14:formula1>
          <xm:sqref>S5:S504</xm:sqref>
        </x14:dataValidation>
        <x14:dataValidation type="list" allowBlank="1" showInputMessage="1" showErrorMessage="1" xr:uid="{00000000-0002-0000-0000-00000A000000}">
          <x14:formula1>
            <xm:f>VERİ!$C$4:$C$12</xm:f>
          </x14:formula1>
          <xm:sqref>T5:T504</xm:sqref>
        </x14:dataValidation>
        <x14:dataValidation type="list" allowBlank="1" showInputMessage="1" showErrorMessage="1" xr:uid="{00000000-0002-0000-0000-00000B000000}">
          <x14:formula1>
            <xm:f>VERİ!$O$4:$S$4</xm:f>
          </x14:formula1>
          <xm:sqref>W5:W504</xm:sqref>
        </x14:dataValidation>
        <x14:dataValidation type="list" allowBlank="1" showInputMessage="1" showErrorMessage="1" xr:uid="{00000000-0002-0000-0000-00000C000000}">
          <x14:formula1>
            <xm:f>VERİ!$T$4:$AA$4</xm:f>
          </x14:formula1>
          <xm:sqref>V5:V504</xm:sqref>
        </x14:dataValidation>
        <x14:dataValidation type="list" allowBlank="1" showInputMessage="1" showErrorMessage="1" xr:uid="{00000000-0002-0000-0000-00000D000000}">
          <x14:formula1>
            <xm:f>VERİ!$D$4:$D$12</xm:f>
          </x14:formula1>
          <xm:sqref>U5:U504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59"/>
  <sheetViews>
    <sheetView topLeftCell="H1" workbookViewId="0">
      <selection activeCell="J8" sqref="J8"/>
    </sheetView>
  </sheetViews>
  <sheetFormatPr defaultRowHeight="14.4" x14ac:dyDescent="0.3"/>
  <cols>
    <col min="1" max="1" width="5.33203125" customWidth="1"/>
    <col min="2" max="2" width="17.33203125" customWidth="1"/>
    <col min="3" max="4" width="18.33203125" customWidth="1"/>
    <col min="5" max="5" width="25.109375" customWidth="1"/>
    <col min="6" max="6" width="16" bestFit="1" customWidth="1"/>
    <col min="7" max="7" width="17.33203125" bestFit="1" customWidth="1"/>
    <col min="8" max="12" width="17.6640625" customWidth="1"/>
    <col min="13" max="13" width="24.109375" customWidth="1"/>
    <col min="14" max="14" width="11.44140625" bestFit="1" customWidth="1"/>
    <col min="15" max="15" width="17.44140625" customWidth="1"/>
    <col min="16" max="16" width="19.5546875" customWidth="1"/>
    <col min="17" max="17" width="23.88671875" customWidth="1"/>
    <col min="18" max="18" width="14.109375" customWidth="1"/>
    <col min="19" max="19" width="16.33203125" customWidth="1"/>
    <col min="20" max="20" width="15.44140625" bestFit="1" customWidth="1"/>
    <col min="21" max="21" width="14.44140625" customWidth="1"/>
    <col min="22" max="22" width="15.44140625" bestFit="1" customWidth="1"/>
    <col min="23" max="23" width="9.88671875" customWidth="1"/>
    <col min="24" max="24" width="15.44140625" bestFit="1" customWidth="1"/>
    <col min="25" max="27" width="13.33203125" bestFit="1" customWidth="1"/>
  </cols>
  <sheetData>
    <row r="2" spans="2:27" x14ac:dyDescent="0.3">
      <c r="O2" s="29" t="s">
        <v>280</v>
      </c>
      <c r="P2" s="29"/>
      <c r="Q2" s="29"/>
      <c r="R2" s="29"/>
      <c r="S2" s="29"/>
      <c r="T2" s="27"/>
      <c r="U2" s="27"/>
      <c r="V2" s="27"/>
      <c r="W2" s="27"/>
      <c r="X2" s="27"/>
      <c r="Y2" s="27"/>
      <c r="Z2" s="27"/>
      <c r="AA2" s="27"/>
    </row>
    <row r="3" spans="2:27" x14ac:dyDescent="0.3">
      <c r="B3" s="5" t="s">
        <v>8</v>
      </c>
      <c r="C3" s="5" t="s">
        <v>206</v>
      </c>
      <c r="D3" s="5" t="s">
        <v>207</v>
      </c>
      <c r="E3" s="5" t="s">
        <v>35</v>
      </c>
      <c r="F3" s="5" t="s">
        <v>38</v>
      </c>
      <c r="G3" s="5" t="s">
        <v>74</v>
      </c>
      <c r="H3" s="5" t="s">
        <v>39</v>
      </c>
      <c r="I3" s="5" t="s">
        <v>40</v>
      </c>
      <c r="J3" s="5" t="s">
        <v>41</v>
      </c>
      <c r="K3" s="5" t="s">
        <v>119</v>
      </c>
      <c r="L3" s="5" t="s">
        <v>88</v>
      </c>
      <c r="M3" s="5" t="s">
        <v>113</v>
      </c>
      <c r="N3" s="5" t="s">
        <v>43</v>
      </c>
      <c r="O3" s="28" t="s">
        <v>78</v>
      </c>
      <c r="P3" s="28"/>
      <c r="Q3" s="28"/>
      <c r="R3" s="28"/>
      <c r="S3" s="28"/>
      <c r="T3" s="28" t="s">
        <v>75</v>
      </c>
      <c r="U3" s="28"/>
      <c r="V3" s="28"/>
      <c r="W3" s="28"/>
      <c r="X3" s="28"/>
      <c r="Y3" s="28"/>
      <c r="Z3" s="28"/>
      <c r="AA3" s="28"/>
    </row>
    <row r="4" spans="2:27" x14ac:dyDescent="0.3">
      <c r="B4" t="s">
        <v>21</v>
      </c>
      <c r="C4" t="s">
        <v>89</v>
      </c>
      <c r="D4" t="s">
        <v>89</v>
      </c>
      <c r="E4" t="s">
        <v>11</v>
      </c>
      <c r="F4" t="s">
        <v>150</v>
      </c>
      <c r="G4" t="s">
        <v>158</v>
      </c>
      <c r="H4" t="s">
        <v>182</v>
      </c>
      <c r="I4" t="s">
        <v>188</v>
      </c>
      <c r="J4" t="s">
        <v>192</v>
      </c>
      <c r="K4" t="s">
        <v>88</v>
      </c>
      <c r="L4" t="s">
        <v>88</v>
      </c>
      <c r="M4" t="s">
        <v>159</v>
      </c>
      <c r="N4" t="s">
        <v>44</v>
      </c>
      <c r="O4" s="7" t="s">
        <v>149</v>
      </c>
      <c r="P4" s="7" t="s">
        <v>148</v>
      </c>
      <c r="Q4" s="7" t="s">
        <v>147</v>
      </c>
      <c r="R4" s="7" t="s">
        <v>146</v>
      </c>
      <c r="S4" s="7" t="s">
        <v>145</v>
      </c>
      <c r="T4" t="s">
        <v>76</v>
      </c>
      <c r="U4" t="s">
        <v>197</v>
      </c>
      <c r="V4" t="s">
        <v>77</v>
      </c>
      <c r="W4" t="s">
        <v>198</v>
      </c>
      <c r="X4" t="s">
        <v>199</v>
      </c>
      <c r="Y4" t="s">
        <v>200</v>
      </c>
      <c r="Z4" t="s">
        <v>201</v>
      </c>
      <c r="AA4" t="s">
        <v>202</v>
      </c>
    </row>
    <row r="5" spans="2:27" x14ac:dyDescent="0.3">
      <c r="B5" t="s">
        <v>22</v>
      </c>
      <c r="C5" t="s">
        <v>27</v>
      </c>
      <c r="D5" t="s">
        <v>89</v>
      </c>
      <c r="E5" t="s">
        <v>124</v>
      </c>
      <c r="F5" t="s">
        <v>151</v>
      </c>
      <c r="G5" t="s">
        <v>161</v>
      </c>
      <c r="H5" t="s">
        <v>183</v>
      </c>
      <c r="I5" t="s">
        <v>189</v>
      </c>
      <c r="J5" t="s">
        <v>193</v>
      </c>
      <c r="K5" t="s">
        <v>161</v>
      </c>
      <c r="M5" s="8" t="s">
        <v>92</v>
      </c>
      <c r="N5" t="s">
        <v>45</v>
      </c>
      <c r="O5" t="s">
        <v>122</v>
      </c>
      <c r="P5" t="s">
        <v>66</v>
      </c>
      <c r="Q5" t="s">
        <v>84</v>
      </c>
      <c r="R5" s="6" t="s">
        <v>66</v>
      </c>
      <c r="S5" t="s">
        <v>65</v>
      </c>
      <c r="T5" t="s">
        <v>150</v>
      </c>
      <c r="U5" t="s">
        <v>150</v>
      </c>
      <c r="V5" t="s">
        <v>150</v>
      </c>
      <c r="W5" t="s">
        <v>150</v>
      </c>
      <c r="X5" t="s">
        <v>150</v>
      </c>
      <c r="Y5" t="s">
        <v>151</v>
      </c>
      <c r="Z5" t="s">
        <v>152</v>
      </c>
      <c r="AA5" t="s">
        <v>153</v>
      </c>
    </row>
    <row r="6" spans="2:27" x14ac:dyDescent="0.3">
      <c r="B6" t="s">
        <v>23</v>
      </c>
      <c r="C6" t="s">
        <v>28</v>
      </c>
      <c r="D6" t="s">
        <v>89</v>
      </c>
      <c r="E6" t="s">
        <v>36</v>
      </c>
      <c r="F6" t="s">
        <v>152</v>
      </c>
      <c r="G6" t="s">
        <v>155</v>
      </c>
      <c r="H6" t="s">
        <v>184</v>
      </c>
      <c r="I6" t="s">
        <v>160</v>
      </c>
      <c r="J6" t="s">
        <v>194</v>
      </c>
      <c r="M6" s="8" t="s">
        <v>93</v>
      </c>
      <c r="N6" t="s">
        <v>46</v>
      </c>
      <c r="O6" t="s">
        <v>121</v>
      </c>
      <c r="P6" t="s">
        <v>79</v>
      </c>
      <c r="Q6" t="s">
        <v>85</v>
      </c>
      <c r="R6" t="s">
        <v>71</v>
      </c>
      <c r="S6" t="s">
        <v>70</v>
      </c>
      <c r="T6" t="s">
        <v>151</v>
      </c>
      <c r="U6" t="s">
        <v>151</v>
      </c>
      <c r="V6" t="s">
        <v>151</v>
      </c>
      <c r="X6" t="s">
        <v>151</v>
      </c>
    </row>
    <row r="7" spans="2:27" x14ac:dyDescent="0.3">
      <c r="B7" t="s">
        <v>24</v>
      </c>
      <c r="C7" t="s">
        <v>29</v>
      </c>
      <c r="D7" t="s">
        <v>89</v>
      </c>
      <c r="E7" t="s">
        <v>117</v>
      </c>
      <c r="F7" t="s">
        <v>153</v>
      </c>
      <c r="G7" t="s">
        <v>156</v>
      </c>
      <c r="H7" t="s">
        <v>185</v>
      </c>
      <c r="I7" t="s">
        <v>190</v>
      </c>
      <c r="J7" t="s">
        <v>187</v>
      </c>
      <c r="M7" s="8" t="s">
        <v>94</v>
      </c>
      <c r="N7" t="s">
        <v>47</v>
      </c>
      <c r="O7" t="s">
        <v>123</v>
      </c>
      <c r="P7" t="s">
        <v>73</v>
      </c>
      <c r="Q7" t="s">
        <v>86</v>
      </c>
      <c r="R7" t="s">
        <v>70</v>
      </c>
      <c r="S7" t="s">
        <v>83</v>
      </c>
      <c r="T7" t="s">
        <v>152</v>
      </c>
      <c r="U7" t="s">
        <v>152</v>
      </c>
      <c r="V7" t="s">
        <v>152</v>
      </c>
      <c r="X7" t="s">
        <v>152</v>
      </c>
    </row>
    <row r="8" spans="2:27" x14ac:dyDescent="0.3">
      <c r="B8" t="s">
        <v>25</v>
      </c>
      <c r="C8" t="s">
        <v>30</v>
      </c>
      <c r="D8" t="s">
        <v>89</v>
      </c>
      <c r="E8" t="s">
        <v>118</v>
      </c>
      <c r="F8" t="s">
        <v>154</v>
      </c>
      <c r="G8" t="s">
        <v>195</v>
      </c>
      <c r="H8" t="s">
        <v>186</v>
      </c>
      <c r="I8" t="s">
        <v>191</v>
      </c>
      <c r="J8" t="s">
        <v>195</v>
      </c>
      <c r="M8" s="8" t="s">
        <v>95</v>
      </c>
      <c r="N8" t="s">
        <v>48</v>
      </c>
      <c r="P8" t="s">
        <v>67</v>
      </c>
      <c r="Q8" t="s">
        <v>87</v>
      </c>
      <c r="R8" t="s">
        <v>68</v>
      </c>
      <c r="S8" t="s">
        <v>123</v>
      </c>
      <c r="T8" t="s">
        <v>153</v>
      </c>
      <c r="U8" t="s">
        <v>153</v>
      </c>
      <c r="V8" t="s">
        <v>153</v>
      </c>
      <c r="X8" t="s">
        <v>153</v>
      </c>
    </row>
    <row r="9" spans="2:27" x14ac:dyDescent="0.3">
      <c r="B9" t="s">
        <v>26</v>
      </c>
      <c r="C9" t="s">
        <v>31</v>
      </c>
      <c r="D9" t="s">
        <v>89</v>
      </c>
      <c r="E9" t="s">
        <v>37</v>
      </c>
      <c r="F9" t="s">
        <v>88</v>
      </c>
      <c r="G9" t="s">
        <v>157</v>
      </c>
      <c r="H9" t="s">
        <v>159</v>
      </c>
      <c r="I9" t="s">
        <v>195</v>
      </c>
      <c r="J9" t="s">
        <v>157</v>
      </c>
      <c r="M9" s="8" t="s">
        <v>96</v>
      </c>
      <c r="N9" t="s">
        <v>49</v>
      </c>
      <c r="P9" t="s">
        <v>80</v>
      </c>
      <c r="Q9" t="s">
        <v>123</v>
      </c>
      <c r="R9" t="s">
        <v>72</v>
      </c>
      <c r="T9" t="s">
        <v>154</v>
      </c>
      <c r="U9" t="s">
        <v>154</v>
      </c>
      <c r="V9" t="s">
        <v>154</v>
      </c>
      <c r="X9" t="s">
        <v>154</v>
      </c>
    </row>
    <row r="10" spans="2:27" x14ac:dyDescent="0.3">
      <c r="B10" t="s">
        <v>19</v>
      </c>
      <c r="C10" t="s">
        <v>32</v>
      </c>
      <c r="D10" t="s">
        <v>89</v>
      </c>
      <c r="H10" t="s">
        <v>187</v>
      </c>
      <c r="I10" t="s">
        <v>157</v>
      </c>
      <c r="J10" t="s">
        <v>158</v>
      </c>
      <c r="M10" s="8" t="s">
        <v>97</v>
      </c>
      <c r="N10" t="s">
        <v>50</v>
      </c>
      <c r="P10" t="s">
        <v>72</v>
      </c>
      <c r="R10" t="s">
        <v>90</v>
      </c>
      <c r="V10" t="s">
        <v>88</v>
      </c>
      <c r="X10" t="s">
        <v>88</v>
      </c>
    </row>
    <row r="11" spans="2:27" x14ac:dyDescent="0.3">
      <c r="B11" t="s">
        <v>20</v>
      </c>
      <c r="C11" t="s">
        <v>33</v>
      </c>
      <c r="D11" t="s">
        <v>89</v>
      </c>
      <c r="H11" t="s">
        <v>188</v>
      </c>
      <c r="I11" t="s">
        <v>158</v>
      </c>
      <c r="J11" t="s">
        <v>161</v>
      </c>
      <c r="M11" s="8" t="s">
        <v>98</v>
      </c>
      <c r="N11" t="s">
        <v>51</v>
      </c>
      <c r="P11" t="s">
        <v>68</v>
      </c>
      <c r="R11" t="s">
        <v>91</v>
      </c>
    </row>
    <row r="12" spans="2:27" x14ac:dyDescent="0.3">
      <c r="B12" t="s">
        <v>115</v>
      </c>
      <c r="C12" t="s">
        <v>34</v>
      </c>
      <c r="D12" t="s">
        <v>89</v>
      </c>
      <c r="H12" t="s">
        <v>195</v>
      </c>
      <c r="I12" t="s">
        <v>161</v>
      </c>
      <c r="M12" s="8" t="s">
        <v>99</v>
      </c>
      <c r="N12" t="s">
        <v>52</v>
      </c>
      <c r="P12" t="s">
        <v>81</v>
      </c>
      <c r="R12" t="s">
        <v>123</v>
      </c>
    </row>
    <row r="13" spans="2:27" x14ac:dyDescent="0.3">
      <c r="B13" t="s">
        <v>116</v>
      </c>
      <c r="H13" t="s">
        <v>157</v>
      </c>
      <c r="M13" s="8" t="s">
        <v>100</v>
      </c>
      <c r="N13" t="s">
        <v>53</v>
      </c>
      <c r="P13" t="s">
        <v>82</v>
      </c>
    </row>
    <row r="14" spans="2:27" x14ac:dyDescent="0.3">
      <c r="H14" t="s">
        <v>158</v>
      </c>
      <c r="M14" s="8" t="s">
        <v>101</v>
      </c>
      <c r="N14" t="s">
        <v>54</v>
      </c>
      <c r="P14" t="s">
        <v>69</v>
      </c>
    </row>
    <row r="15" spans="2:27" x14ac:dyDescent="0.3">
      <c r="H15" t="s">
        <v>161</v>
      </c>
      <c r="M15" s="8" t="s">
        <v>102</v>
      </c>
      <c r="N15" t="s">
        <v>55</v>
      </c>
      <c r="P15" t="s">
        <v>123</v>
      </c>
    </row>
    <row r="16" spans="2:27" x14ac:dyDescent="0.3">
      <c r="M16" s="8" t="s">
        <v>103</v>
      </c>
      <c r="N16" t="s">
        <v>56</v>
      </c>
    </row>
    <row r="17" spans="13:14" x14ac:dyDescent="0.3">
      <c r="M17" s="8" t="s">
        <v>104</v>
      </c>
      <c r="N17" t="s">
        <v>57</v>
      </c>
    </row>
    <row r="18" spans="13:14" x14ac:dyDescent="0.3">
      <c r="M18" s="8" t="s">
        <v>105</v>
      </c>
      <c r="N18" t="s">
        <v>58</v>
      </c>
    </row>
    <row r="19" spans="13:14" x14ac:dyDescent="0.3">
      <c r="M19" s="8" t="s">
        <v>106</v>
      </c>
      <c r="N19" t="s">
        <v>59</v>
      </c>
    </row>
    <row r="20" spans="13:14" x14ac:dyDescent="0.3">
      <c r="M20" s="8" t="s">
        <v>107</v>
      </c>
      <c r="N20" t="s">
        <v>60</v>
      </c>
    </row>
    <row r="21" spans="13:14" x14ac:dyDescent="0.3">
      <c r="M21" s="8" t="s">
        <v>108</v>
      </c>
      <c r="N21" t="s">
        <v>61</v>
      </c>
    </row>
    <row r="22" spans="13:14" x14ac:dyDescent="0.3">
      <c r="M22" s="8" t="s">
        <v>109</v>
      </c>
      <c r="N22" t="s">
        <v>62</v>
      </c>
    </row>
    <row r="23" spans="13:14" x14ac:dyDescent="0.3">
      <c r="M23" s="8" t="s">
        <v>110</v>
      </c>
      <c r="N23" t="s">
        <v>63</v>
      </c>
    </row>
    <row r="24" spans="13:14" x14ac:dyDescent="0.3">
      <c r="M24" s="8" t="s">
        <v>111</v>
      </c>
      <c r="N24" t="s">
        <v>64</v>
      </c>
    </row>
    <row r="25" spans="13:14" x14ac:dyDescent="0.3">
      <c r="M25" s="8" t="s">
        <v>112</v>
      </c>
      <c r="N25" t="s">
        <v>42</v>
      </c>
    </row>
    <row r="26" spans="13:14" x14ac:dyDescent="0.3">
      <c r="M26" t="s">
        <v>161</v>
      </c>
    </row>
    <row r="27" spans="13:14" x14ac:dyDescent="0.3">
      <c r="M27" t="s">
        <v>120</v>
      </c>
    </row>
    <row r="28" spans="13:14" x14ac:dyDescent="0.3">
      <c r="M28" s="8" t="s">
        <v>96</v>
      </c>
    </row>
    <row r="29" spans="13:14" x14ac:dyDescent="0.3">
      <c r="M29" s="8" t="s">
        <v>125</v>
      </c>
    </row>
    <row r="30" spans="13:14" x14ac:dyDescent="0.3">
      <c r="M30" s="8" t="s">
        <v>126</v>
      </c>
    </row>
    <row r="31" spans="13:14" x14ac:dyDescent="0.3">
      <c r="M31" s="8" t="s">
        <v>127</v>
      </c>
    </row>
    <row r="32" spans="13:14" x14ac:dyDescent="0.3">
      <c r="M32" s="8" t="s">
        <v>128</v>
      </c>
    </row>
    <row r="33" spans="13:13" x14ac:dyDescent="0.3">
      <c r="M33" s="8" t="s">
        <v>129</v>
      </c>
    </row>
    <row r="34" spans="13:13" x14ac:dyDescent="0.3">
      <c r="M34" s="8" t="s">
        <v>130</v>
      </c>
    </row>
    <row r="35" spans="13:13" x14ac:dyDescent="0.3">
      <c r="M35" s="8" t="s">
        <v>131</v>
      </c>
    </row>
    <row r="36" spans="13:13" x14ac:dyDescent="0.3">
      <c r="M36" s="8" t="s">
        <v>132</v>
      </c>
    </row>
    <row r="37" spans="13:13" x14ac:dyDescent="0.3">
      <c r="M37" s="8" t="s">
        <v>133</v>
      </c>
    </row>
    <row r="38" spans="13:13" x14ac:dyDescent="0.3">
      <c r="M38" s="8" t="s">
        <v>134</v>
      </c>
    </row>
    <row r="39" spans="13:13" x14ac:dyDescent="0.3">
      <c r="M39" s="8" t="s">
        <v>135</v>
      </c>
    </row>
    <row r="40" spans="13:13" x14ac:dyDescent="0.3">
      <c r="M40" s="8" t="s">
        <v>136</v>
      </c>
    </row>
    <row r="41" spans="13:13" x14ac:dyDescent="0.3">
      <c r="M41" s="8" t="s">
        <v>137</v>
      </c>
    </row>
    <row r="42" spans="13:13" x14ac:dyDescent="0.3">
      <c r="M42" s="8" t="s">
        <v>138</v>
      </c>
    </row>
    <row r="43" spans="13:13" x14ac:dyDescent="0.3">
      <c r="M43" s="8" t="s">
        <v>139</v>
      </c>
    </row>
    <row r="44" spans="13:13" x14ac:dyDescent="0.3">
      <c r="M44" t="s">
        <v>140</v>
      </c>
    </row>
    <row r="45" spans="13:13" x14ac:dyDescent="0.3">
      <c r="M45" s="8" t="s">
        <v>126</v>
      </c>
    </row>
    <row r="46" spans="13:13" x14ac:dyDescent="0.3">
      <c r="M46" s="8" t="s">
        <v>127</v>
      </c>
    </row>
    <row r="47" spans="13:13" x14ac:dyDescent="0.3">
      <c r="M47" s="8" t="s">
        <v>128</v>
      </c>
    </row>
    <row r="48" spans="13:13" x14ac:dyDescent="0.3">
      <c r="M48" s="8" t="s">
        <v>129</v>
      </c>
    </row>
    <row r="49" spans="13:13" x14ac:dyDescent="0.3">
      <c r="M49" s="8" t="s">
        <v>130</v>
      </c>
    </row>
    <row r="50" spans="13:13" x14ac:dyDescent="0.3">
      <c r="M50" s="8" t="s">
        <v>131</v>
      </c>
    </row>
    <row r="51" spans="13:13" x14ac:dyDescent="0.3">
      <c r="M51" s="8" t="s">
        <v>132</v>
      </c>
    </row>
    <row r="52" spans="13:13" x14ac:dyDescent="0.3">
      <c r="M52" s="8" t="s">
        <v>133</v>
      </c>
    </row>
    <row r="53" spans="13:13" x14ac:dyDescent="0.3">
      <c r="M53" s="8" t="s">
        <v>134</v>
      </c>
    </row>
    <row r="54" spans="13:13" x14ac:dyDescent="0.3">
      <c r="M54" s="8" t="s">
        <v>141</v>
      </c>
    </row>
    <row r="55" spans="13:13" x14ac:dyDescent="0.3">
      <c r="M55" s="8" t="s">
        <v>136</v>
      </c>
    </row>
    <row r="56" spans="13:13" x14ac:dyDescent="0.3">
      <c r="M56" s="8" t="s">
        <v>137</v>
      </c>
    </row>
    <row r="57" spans="13:13" x14ac:dyDescent="0.3">
      <c r="M57" s="8" t="s">
        <v>138</v>
      </c>
    </row>
    <row r="58" spans="13:13" x14ac:dyDescent="0.3">
      <c r="M58" s="8" t="s">
        <v>142</v>
      </c>
    </row>
    <row r="59" spans="13:13" x14ac:dyDescent="0.3">
      <c r="M59" s="8" t="s">
        <v>143</v>
      </c>
    </row>
  </sheetData>
  <sheetProtection algorithmName="SHA-512" hashValue="0vcvBgpxSoFjLGkyXR9+Q3vThAXH2hnqmrJUDFJhplgZzDzm1crbJ2VyK6p6vJgbK96a63XBTV9CaxuyiLdX4A==" saltValue="xak6gFC7rCB0W/1gHmyO5A==" spinCount="100000" sheet="1" objects="1" scenarios="1"/>
  <mergeCells count="4">
    <mergeCell ref="T2:AA2"/>
    <mergeCell ref="T3:AA3"/>
    <mergeCell ref="O3:S3"/>
    <mergeCell ref="O2:S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V25"/>
  <sheetViews>
    <sheetView topLeftCell="A7" workbookViewId="0">
      <selection activeCell="D26" sqref="D26"/>
    </sheetView>
  </sheetViews>
  <sheetFormatPr defaultRowHeight="14.4" x14ac:dyDescent="0.3"/>
  <cols>
    <col min="4" max="4" width="12" bestFit="1" customWidth="1"/>
    <col min="5" max="5" width="11.88671875" bestFit="1" customWidth="1"/>
    <col min="6" max="6" width="13.44140625" bestFit="1" customWidth="1"/>
    <col min="22" max="22" width="20.5546875" bestFit="1" customWidth="1"/>
  </cols>
  <sheetData>
    <row r="4" spans="2:22" x14ac:dyDescent="0.3">
      <c r="B4" t="s">
        <v>155</v>
      </c>
      <c r="C4" t="s">
        <v>156</v>
      </c>
      <c r="D4" t="s">
        <v>195</v>
      </c>
      <c r="E4" t="s">
        <v>157</v>
      </c>
      <c r="F4" t="s">
        <v>158</v>
      </c>
      <c r="G4" t="s">
        <v>183</v>
      </c>
      <c r="H4" t="s">
        <v>159</v>
      </c>
      <c r="I4" t="s">
        <v>184</v>
      </c>
      <c r="J4" t="s">
        <v>185</v>
      </c>
      <c r="K4" t="s">
        <v>186</v>
      </c>
      <c r="L4" t="s">
        <v>188</v>
      </c>
      <c r="M4" t="s">
        <v>189</v>
      </c>
      <c r="N4" t="s">
        <v>160</v>
      </c>
      <c r="O4" t="s">
        <v>190</v>
      </c>
      <c r="P4" t="s">
        <v>182</v>
      </c>
      <c r="Q4" t="s">
        <v>191</v>
      </c>
      <c r="R4" t="s">
        <v>192</v>
      </c>
      <c r="S4" t="s">
        <v>193</v>
      </c>
      <c r="T4" t="s">
        <v>194</v>
      </c>
      <c r="U4" t="s">
        <v>187</v>
      </c>
      <c r="V4" t="s">
        <v>161</v>
      </c>
    </row>
    <row r="5" spans="2:22" x14ac:dyDescent="0.3">
      <c r="B5" s="8" t="s">
        <v>166</v>
      </c>
      <c r="C5" s="8" t="s">
        <v>165</v>
      </c>
      <c r="D5" t="s">
        <v>196</v>
      </c>
      <c r="E5" t="s">
        <v>157</v>
      </c>
      <c r="F5" t="s">
        <v>158</v>
      </c>
      <c r="G5" s="8" t="s">
        <v>96</v>
      </c>
      <c r="H5" t="s">
        <v>92</v>
      </c>
      <c r="I5" s="8" t="s">
        <v>126</v>
      </c>
      <c r="J5" s="8" t="s">
        <v>126</v>
      </c>
      <c r="K5" s="8" t="s">
        <v>126</v>
      </c>
      <c r="L5" s="8" t="s">
        <v>126</v>
      </c>
      <c r="M5" s="8" t="s">
        <v>126</v>
      </c>
      <c r="N5" s="8" t="s">
        <v>126</v>
      </c>
      <c r="O5" s="8" t="s">
        <v>96</v>
      </c>
      <c r="P5" s="8" t="s">
        <v>96</v>
      </c>
      <c r="Q5" s="8" t="s">
        <v>96</v>
      </c>
      <c r="R5" t="s">
        <v>96</v>
      </c>
      <c r="S5" t="s">
        <v>96</v>
      </c>
      <c r="T5" t="s">
        <v>96</v>
      </c>
      <c r="U5" t="s">
        <v>96</v>
      </c>
      <c r="V5" t="s">
        <v>161</v>
      </c>
    </row>
    <row r="6" spans="2:22" x14ac:dyDescent="0.3">
      <c r="B6" s="8" t="s">
        <v>167</v>
      </c>
      <c r="C6" s="8" t="s">
        <v>166</v>
      </c>
      <c r="G6" s="8" t="s">
        <v>125</v>
      </c>
      <c r="H6" t="s">
        <v>93</v>
      </c>
      <c r="I6" s="8" t="s">
        <v>127</v>
      </c>
      <c r="J6" s="8" t="s">
        <v>127</v>
      </c>
      <c r="K6" s="8" t="s">
        <v>127</v>
      </c>
      <c r="L6" s="8" t="s">
        <v>127</v>
      </c>
      <c r="M6" s="8" t="s">
        <v>127</v>
      </c>
      <c r="N6" s="8" t="s">
        <v>127</v>
      </c>
      <c r="O6" s="8" t="s">
        <v>125</v>
      </c>
      <c r="P6" s="8" t="s">
        <v>125</v>
      </c>
      <c r="Q6" s="8" t="s">
        <v>125</v>
      </c>
      <c r="R6" t="s">
        <v>125</v>
      </c>
      <c r="S6" t="s">
        <v>125</v>
      </c>
      <c r="T6" t="s">
        <v>125</v>
      </c>
      <c r="U6" t="s">
        <v>125</v>
      </c>
    </row>
    <row r="7" spans="2:22" x14ac:dyDescent="0.3">
      <c r="B7" s="8" t="s">
        <v>168</v>
      </c>
      <c r="C7" s="8" t="s">
        <v>167</v>
      </c>
      <c r="G7" s="8" t="s">
        <v>126</v>
      </c>
      <c r="H7" t="s">
        <v>94</v>
      </c>
      <c r="I7" s="8" t="s">
        <v>128</v>
      </c>
      <c r="J7" s="8" t="s">
        <v>128</v>
      </c>
      <c r="K7" s="8" t="s">
        <v>128</v>
      </c>
      <c r="L7" s="8" t="s">
        <v>128</v>
      </c>
      <c r="M7" s="8" t="s">
        <v>128</v>
      </c>
      <c r="N7" s="8" t="s">
        <v>128</v>
      </c>
      <c r="O7" s="8" t="s">
        <v>126</v>
      </c>
      <c r="P7" s="8" t="s">
        <v>126</v>
      </c>
      <c r="Q7" s="8" t="s">
        <v>126</v>
      </c>
      <c r="R7" t="s">
        <v>126</v>
      </c>
      <c r="S7" t="s">
        <v>126</v>
      </c>
      <c r="T7" t="s">
        <v>126</v>
      </c>
      <c r="U7" t="s">
        <v>126</v>
      </c>
    </row>
    <row r="8" spans="2:22" x14ac:dyDescent="0.3">
      <c r="B8" s="8" t="s">
        <v>169</v>
      </c>
      <c r="C8" s="8" t="s">
        <v>168</v>
      </c>
      <c r="G8" s="8" t="s">
        <v>127</v>
      </c>
      <c r="H8" t="s">
        <v>95</v>
      </c>
      <c r="I8" s="8" t="s">
        <v>129</v>
      </c>
      <c r="J8" s="8" t="s">
        <v>129</v>
      </c>
      <c r="K8" s="8" t="s">
        <v>129</v>
      </c>
      <c r="L8" s="8" t="s">
        <v>129</v>
      </c>
      <c r="M8" s="8" t="s">
        <v>129</v>
      </c>
      <c r="N8" s="8" t="s">
        <v>129</v>
      </c>
      <c r="O8" s="8" t="s">
        <v>127</v>
      </c>
      <c r="P8" s="8" t="s">
        <v>127</v>
      </c>
      <c r="Q8" s="8" t="s">
        <v>127</v>
      </c>
      <c r="R8" t="s">
        <v>127</v>
      </c>
      <c r="S8" t="s">
        <v>127</v>
      </c>
      <c r="T8" t="s">
        <v>127</v>
      </c>
      <c r="U8" t="s">
        <v>127</v>
      </c>
    </row>
    <row r="9" spans="2:22" x14ac:dyDescent="0.3">
      <c r="B9" s="8" t="s">
        <v>170</v>
      </c>
      <c r="C9" s="8" t="s">
        <v>169</v>
      </c>
      <c r="G9" s="8" t="s">
        <v>128</v>
      </c>
      <c r="H9" t="s">
        <v>96</v>
      </c>
      <c r="I9" s="8" t="s">
        <v>130</v>
      </c>
      <c r="J9" s="8" t="s">
        <v>130</v>
      </c>
      <c r="K9" s="8" t="s">
        <v>130</v>
      </c>
      <c r="L9" s="8" t="s">
        <v>130</v>
      </c>
      <c r="M9" s="8" t="s">
        <v>130</v>
      </c>
      <c r="N9" s="8" t="s">
        <v>130</v>
      </c>
      <c r="O9" s="8" t="s">
        <v>128</v>
      </c>
      <c r="P9" s="8" t="s">
        <v>128</v>
      </c>
      <c r="Q9" s="8" t="s">
        <v>128</v>
      </c>
      <c r="R9" t="s">
        <v>128</v>
      </c>
      <c r="S9" t="s">
        <v>128</v>
      </c>
      <c r="T9" t="s">
        <v>128</v>
      </c>
      <c r="U9" t="s">
        <v>128</v>
      </c>
    </row>
    <row r="10" spans="2:22" x14ac:dyDescent="0.3">
      <c r="B10" s="8" t="s">
        <v>171</v>
      </c>
      <c r="C10" s="8" t="s">
        <v>170</v>
      </c>
      <c r="G10" s="8" t="s">
        <v>129</v>
      </c>
      <c r="H10" t="s">
        <v>97</v>
      </c>
      <c r="I10" s="8" t="s">
        <v>131</v>
      </c>
      <c r="J10" s="8" t="s">
        <v>131</v>
      </c>
      <c r="K10" s="8" t="s">
        <v>131</v>
      </c>
      <c r="L10" s="8" t="s">
        <v>131</v>
      </c>
      <c r="M10" s="8" t="s">
        <v>131</v>
      </c>
      <c r="Q10" s="8" t="s">
        <v>129</v>
      </c>
      <c r="R10" t="s">
        <v>129</v>
      </c>
      <c r="S10" t="s">
        <v>129</v>
      </c>
      <c r="T10" t="s">
        <v>129</v>
      </c>
      <c r="U10" t="s">
        <v>129</v>
      </c>
    </row>
    <row r="11" spans="2:22" x14ac:dyDescent="0.3">
      <c r="B11" s="8" t="s">
        <v>172</v>
      </c>
      <c r="C11" s="8" t="s">
        <v>171</v>
      </c>
      <c r="G11" s="8" t="s">
        <v>130</v>
      </c>
      <c r="H11" t="s">
        <v>98</v>
      </c>
      <c r="I11" s="8" t="s">
        <v>132</v>
      </c>
      <c r="J11" s="8" t="s">
        <v>132</v>
      </c>
      <c r="K11" s="8" t="s">
        <v>132</v>
      </c>
      <c r="L11" s="8" t="s">
        <v>132</v>
      </c>
      <c r="M11" s="8" t="s">
        <v>132</v>
      </c>
      <c r="Q11" s="8" t="s">
        <v>130</v>
      </c>
      <c r="R11" t="s">
        <v>130</v>
      </c>
      <c r="S11" t="s">
        <v>130</v>
      </c>
      <c r="T11" t="s">
        <v>130</v>
      </c>
      <c r="U11" t="s">
        <v>130</v>
      </c>
    </row>
    <row r="12" spans="2:22" x14ac:dyDescent="0.3">
      <c r="B12" s="8" t="s">
        <v>173</v>
      </c>
      <c r="C12" s="8" t="s">
        <v>180</v>
      </c>
      <c r="G12" s="8" t="s">
        <v>131</v>
      </c>
      <c r="H12" t="s">
        <v>99</v>
      </c>
      <c r="I12" s="8" t="s">
        <v>133</v>
      </c>
      <c r="J12" s="8" t="s">
        <v>133</v>
      </c>
      <c r="K12" s="8" t="s">
        <v>133</v>
      </c>
      <c r="L12" s="8" t="s">
        <v>133</v>
      </c>
      <c r="M12" s="8" t="s">
        <v>133</v>
      </c>
      <c r="Q12" s="8" t="s">
        <v>131</v>
      </c>
      <c r="R12" t="s">
        <v>131</v>
      </c>
      <c r="S12" t="s">
        <v>131</v>
      </c>
      <c r="T12" t="s">
        <v>131</v>
      </c>
      <c r="U12" t="s">
        <v>131</v>
      </c>
    </row>
    <row r="13" spans="2:22" x14ac:dyDescent="0.3">
      <c r="B13" s="8" t="s">
        <v>162</v>
      </c>
      <c r="C13" s="8" t="s">
        <v>173</v>
      </c>
      <c r="G13" s="8" t="s">
        <v>132</v>
      </c>
      <c r="H13" t="s">
        <v>100</v>
      </c>
      <c r="I13" s="8" t="s">
        <v>134</v>
      </c>
      <c r="J13" s="8" t="s">
        <v>134</v>
      </c>
      <c r="K13" s="8" t="s">
        <v>134</v>
      </c>
      <c r="L13" s="8" t="s">
        <v>134</v>
      </c>
      <c r="M13" s="8" t="s">
        <v>134</v>
      </c>
      <c r="Q13" s="8" t="s">
        <v>132</v>
      </c>
      <c r="R13" t="s">
        <v>132</v>
      </c>
      <c r="S13" t="s">
        <v>132</v>
      </c>
      <c r="T13" t="s">
        <v>132</v>
      </c>
      <c r="U13" t="s">
        <v>132</v>
      </c>
    </row>
    <row r="14" spans="2:22" x14ac:dyDescent="0.3">
      <c r="B14" s="8" t="s">
        <v>174</v>
      </c>
      <c r="C14" s="8" t="s">
        <v>162</v>
      </c>
      <c r="G14" s="8" t="s">
        <v>133</v>
      </c>
      <c r="H14" t="s">
        <v>101</v>
      </c>
      <c r="I14" s="8" t="s">
        <v>164</v>
      </c>
      <c r="J14" s="8" t="s">
        <v>164</v>
      </c>
      <c r="K14" s="8" t="s">
        <v>164</v>
      </c>
      <c r="L14" s="8" t="s">
        <v>164</v>
      </c>
      <c r="M14" s="8" t="s">
        <v>164</v>
      </c>
      <c r="Q14" s="8" t="s">
        <v>133</v>
      </c>
      <c r="R14" t="s">
        <v>133</v>
      </c>
      <c r="S14" t="s">
        <v>133</v>
      </c>
      <c r="T14" t="s">
        <v>133</v>
      </c>
      <c r="U14" t="s">
        <v>133</v>
      </c>
    </row>
    <row r="15" spans="2:22" x14ac:dyDescent="0.3">
      <c r="B15" s="8" t="s">
        <v>175</v>
      </c>
      <c r="C15" s="8" t="s">
        <v>174</v>
      </c>
      <c r="G15" s="8" t="s">
        <v>134</v>
      </c>
      <c r="H15" t="s">
        <v>102</v>
      </c>
      <c r="I15" s="8" t="s">
        <v>136</v>
      </c>
      <c r="J15" s="8" t="s">
        <v>136</v>
      </c>
      <c r="K15" s="8" t="s">
        <v>136</v>
      </c>
      <c r="L15" s="8" t="s">
        <v>136</v>
      </c>
      <c r="M15" s="8" t="s">
        <v>136</v>
      </c>
      <c r="Q15" s="8" t="s">
        <v>134</v>
      </c>
      <c r="R15" t="s">
        <v>134</v>
      </c>
      <c r="S15" t="s">
        <v>134</v>
      </c>
      <c r="T15" t="s">
        <v>134</v>
      </c>
      <c r="U15" t="s">
        <v>134</v>
      </c>
    </row>
    <row r="16" spans="2:22" x14ac:dyDescent="0.3">
      <c r="B16" s="8" t="s">
        <v>176</v>
      </c>
      <c r="C16" s="8" t="s">
        <v>175</v>
      </c>
      <c r="G16" s="8" t="s">
        <v>135</v>
      </c>
      <c r="H16" t="s">
        <v>103</v>
      </c>
      <c r="I16" s="8" t="s">
        <v>137</v>
      </c>
      <c r="J16" s="8" t="s">
        <v>137</v>
      </c>
      <c r="K16" s="8" t="s">
        <v>137</v>
      </c>
      <c r="L16" s="8" t="s">
        <v>137</v>
      </c>
      <c r="M16" s="8" t="s">
        <v>137</v>
      </c>
      <c r="Q16" s="8" t="s">
        <v>135</v>
      </c>
      <c r="R16" t="s">
        <v>135</v>
      </c>
      <c r="S16" t="s">
        <v>135</v>
      </c>
      <c r="T16" t="s">
        <v>135</v>
      </c>
      <c r="U16" t="s">
        <v>135</v>
      </c>
    </row>
    <row r="17" spans="2:21" x14ac:dyDescent="0.3">
      <c r="B17" s="8" t="s">
        <v>177</v>
      </c>
      <c r="C17" s="8" t="s">
        <v>176</v>
      </c>
      <c r="G17" s="8" t="s">
        <v>136</v>
      </c>
      <c r="H17" t="s">
        <v>104</v>
      </c>
      <c r="I17" s="8" t="s">
        <v>138</v>
      </c>
      <c r="J17" s="8" t="s">
        <v>138</v>
      </c>
      <c r="K17" s="8" t="s">
        <v>138</v>
      </c>
      <c r="L17" s="8" t="s">
        <v>138</v>
      </c>
      <c r="M17" s="8" t="s">
        <v>138</v>
      </c>
      <c r="Q17" s="8" t="s">
        <v>136</v>
      </c>
      <c r="R17" t="s">
        <v>136</v>
      </c>
      <c r="S17" t="s">
        <v>136</v>
      </c>
      <c r="T17" t="s">
        <v>136</v>
      </c>
      <c r="U17" t="s">
        <v>136</v>
      </c>
    </row>
    <row r="18" spans="2:21" x14ac:dyDescent="0.3">
      <c r="B18" s="8" t="s">
        <v>163</v>
      </c>
      <c r="C18" s="8" t="s">
        <v>177</v>
      </c>
      <c r="G18" s="8" t="s">
        <v>137</v>
      </c>
      <c r="H18" t="s">
        <v>105</v>
      </c>
      <c r="I18" s="8" t="s">
        <v>142</v>
      </c>
      <c r="J18" s="8" t="s">
        <v>142</v>
      </c>
      <c r="K18" s="8" t="s">
        <v>142</v>
      </c>
      <c r="L18" s="8" t="s">
        <v>142</v>
      </c>
      <c r="M18" s="8" t="s">
        <v>142</v>
      </c>
      <c r="Q18" s="8" t="s">
        <v>137</v>
      </c>
      <c r="R18" t="s">
        <v>137</v>
      </c>
      <c r="S18" t="s">
        <v>137</v>
      </c>
      <c r="T18" t="s">
        <v>137</v>
      </c>
      <c r="U18" t="s">
        <v>137</v>
      </c>
    </row>
    <row r="19" spans="2:21" x14ac:dyDescent="0.3">
      <c r="B19" s="8" t="s">
        <v>178</v>
      </c>
      <c r="C19" s="8" t="s">
        <v>163</v>
      </c>
      <c r="G19" s="8" t="s">
        <v>138</v>
      </c>
      <c r="H19" t="s">
        <v>106</v>
      </c>
      <c r="I19" s="8" t="s">
        <v>143</v>
      </c>
      <c r="J19" s="8" t="s">
        <v>143</v>
      </c>
      <c r="K19" s="8" t="s">
        <v>143</v>
      </c>
      <c r="L19" s="8" t="s">
        <v>143</v>
      </c>
      <c r="M19" s="8" t="s">
        <v>143</v>
      </c>
      <c r="Q19" s="8" t="s">
        <v>138</v>
      </c>
      <c r="R19" t="s">
        <v>138</v>
      </c>
      <c r="S19" t="s">
        <v>138</v>
      </c>
      <c r="T19" t="s">
        <v>138</v>
      </c>
      <c r="U19" t="s">
        <v>138</v>
      </c>
    </row>
    <row r="20" spans="2:21" x14ac:dyDescent="0.3">
      <c r="B20" s="8" t="s">
        <v>179</v>
      </c>
      <c r="C20" s="8" t="s">
        <v>181</v>
      </c>
      <c r="G20" s="8" t="s">
        <v>139</v>
      </c>
      <c r="H20" t="s">
        <v>107</v>
      </c>
      <c r="Q20" s="8" t="s">
        <v>139</v>
      </c>
      <c r="R20" t="s">
        <v>139</v>
      </c>
      <c r="S20" t="s">
        <v>139</v>
      </c>
      <c r="T20" t="s">
        <v>139</v>
      </c>
      <c r="U20" t="s">
        <v>139</v>
      </c>
    </row>
    <row r="21" spans="2:21" x14ac:dyDescent="0.3">
      <c r="H21" t="s">
        <v>108</v>
      </c>
    </row>
    <row r="22" spans="2:21" x14ac:dyDescent="0.3">
      <c r="H22" t="s">
        <v>109</v>
      </c>
    </row>
    <row r="23" spans="2:21" x14ac:dyDescent="0.3">
      <c r="H23" t="s">
        <v>110</v>
      </c>
    </row>
    <row r="24" spans="2:21" x14ac:dyDescent="0.3">
      <c r="H24" t="s">
        <v>111</v>
      </c>
    </row>
    <row r="25" spans="2:21" x14ac:dyDescent="0.3">
      <c r="H25" t="s">
        <v>112</v>
      </c>
    </row>
  </sheetData>
  <sheetProtection algorithmName="SHA-512" hashValue="0Ov/af/+mvIju0jkVWdWsc7567MusXUmuhVcNba9x/p0nVeYGJlSN1aTIX0daIrM5VX2Zv3tPmZJO9sm8gsJ6w==" saltValue="WQI454zFn+qUwVEAXLLGlA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D10"/>
  <sheetViews>
    <sheetView workbookViewId="0">
      <selection activeCell="K16" sqref="K16:K21"/>
    </sheetView>
  </sheetViews>
  <sheetFormatPr defaultRowHeight="14.4" x14ac:dyDescent="0.3"/>
  <cols>
    <col min="3" max="3" width="14.109375" customWidth="1"/>
    <col min="4" max="4" width="17.6640625" customWidth="1"/>
  </cols>
  <sheetData>
    <row r="2" spans="3:4" ht="15" thickBot="1" x14ac:dyDescent="0.35"/>
    <row r="3" spans="3:4" s="10" customFormat="1" ht="25.2" customHeight="1" x14ac:dyDescent="0.3">
      <c r="C3" s="23" t="s">
        <v>213</v>
      </c>
      <c r="D3" s="18"/>
    </row>
    <row r="4" spans="3:4" s="10" customFormat="1" ht="25.2" customHeight="1" x14ac:dyDescent="0.3">
      <c r="C4" s="21" t="s">
        <v>8</v>
      </c>
      <c r="D4" s="19"/>
    </row>
    <row r="5" spans="3:4" s="10" customFormat="1" ht="25.2" customHeight="1" x14ac:dyDescent="0.3">
      <c r="C5" s="21" t="s">
        <v>215</v>
      </c>
      <c r="D5" s="19"/>
    </row>
    <row r="6" spans="3:4" s="10" customFormat="1" ht="25.2" customHeight="1" x14ac:dyDescent="0.3">
      <c r="C6" s="21" t="s">
        <v>205</v>
      </c>
      <c r="D6" s="19"/>
    </row>
    <row r="7" spans="3:4" s="10" customFormat="1" ht="26.4" customHeight="1" x14ac:dyDescent="0.3">
      <c r="C7" s="21" t="s">
        <v>13</v>
      </c>
      <c r="D7" s="19"/>
    </row>
    <row r="8" spans="3:4" s="10" customFormat="1" ht="25.2" customHeight="1" x14ac:dyDescent="0.3">
      <c r="C8" s="21" t="s">
        <v>204</v>
      </c>
      <c r="D8" s="19"/>
    </row>
    <row r="9" spans="3:4" s="10" customFormat="1" ht="25.2" customHeight="1" x14ac:dyDescent="0.3">
      <c r="C9" s="21" t="s">
        <v>114</v>
      </c>
      <c r="D9" s="19"/>
    </row>
    <row r="10" spans="3:4" s="10" customFormat="1" ht="25.2" customHeight="1" thickBot="1" x14ac:dyDescent="0.35">
      <c r="C10" s="22" t="s">
        <v>214</v>
      </c>
      <c r="D1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40</vt:i4>
      </vt:variant>
    </vt:vector>
  </HeadingPairs>
  <TitlesOfParts>
    <vt:vector size="44" baseType="lpstr">
      <vt:lpstr>Sayfa1</vt:lpstr>
      <vt:lpstr>VERİ</vt:lpstr>
      <vt:lpstr>KOT</vt:lpstr>
      <vt:lpstr>Kaşe</vt:lpstr>
      <vt:lpstr>A_1_BLOK</vt:lpstr>
      <vt:lpstr>A_2_BLOK</vt:lpstr>
      <vt:lpstr>A_BLOK</vt:lpstr>
      <vt:lpstr>A_PARSEL</vt:lpstr>
      <vt:lpstr>B_1_BLOK</vt:lpstr>
      <vt:lpstr>B_2_BLOK</vt:lpstr>
      <vt:lpstr>B_3_BLOK</vt:lpstr>
      <vt:lpstr>B_4_BLOK</vt:lpstr>
      <vt:lpstr>B_BLOK</vt:lpstr>
      <vt:lpstr>C_1_BLOK</vt:lpstr>
      <vt:lpstr>C_2_BLOK</vt:lpstr>
      <vt:lpstr>D_1_BLOK</vt:lpstr>
      <vt:lpstr>D_2_BLOK</vt:lpstr>
      <vt:lpstr>D_3_BLOK</vt:lpstr>
      <vt:lpstr>D_PARSEL_1</vt:lpstr>
      <vt:lpstr>D_PARSEL_2</vt:lpstr>
      <vt:lpstr>D_PARSEL_3</vt:lpstr>
      <vt:lpstr>DENER</vt:lpstr>
      <vt:lpstr>Diger</vt:lpstr>
      <vt:lpstr>E_BLOK</vt:lpstr>
      <vt:lpstr>F_1_BLOK</vt:lpstr>
      <vt:lpstr>F_2_BLOK</vt:lpstr>
      <vt:lpstr>G_BLOK</vt:lpstr>
      <vt:lpstr>GENEL</vt:lpstr>
      <vt:lpstr>GENEL_SAHA</vt:lpstr>
      <vt:lpstr>Ince</vt:lpstr>
      <vt:lpstr>ISTINAT_CEVRE_DUVARI</vt:lpstr>
      <vt:lpstr>Kaba</vt:lpstr>
      <vt:lpstr>KABA_FIRMA_1</vt:lpstr>
      <vt:lpstr>KABA_FIRMA_2</vt:lpstr>
      <vt:lpstr>KABA_FIRMA_3</vt:lpstr>
      <vt:lpstr>KESINTI</vt:lpstr>
      <vt:lpstr>MILLET_BAHCESI</vt:lpstr>
      <vt:lpstr>MOBILIZASYON</vt:lpstr>
      <vt:lpstr>OSMAN_CAMCI</vt:lpstr>
      <vt:lpstr>Peyzaj</vt:lpstr>
      <vt:lpstr>PEYZAJ_2</vt:lpstr>
      <vt:lpstr>SONGUR</vt:lpstr>
      <vt:lpstr>YILDIZLAR</vt:lpstr>
      <vt:lpstr>Zemin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Tayyar Akbulut</cp:lastModifiedBy>
  <dcterms:created xsi:type="dcterms:W3CDTF">2026-01-21T11:24:48Z</dcterms:created>
  <dcterms:modified xsi:type="dcterms:W3CDTF">2026-05-18T17:07:10Z</dcterms:modified>
</cp:coreProperties>
</file>